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bb8accbc0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说明" sheetId="1" r:id="Ra3942faa550944a7"/>
    <x:sheet xmlns:r="http://schemas.openxmlformats.org/officeDocument/2006/relationships" name="R2小于0.3剔除样本" sheetId="2" r:id="R013051f636e247b5"/>
    <x:sheet xmlns:r="http://schemas.openxmlformats.org/officeDocument/2006/relationships" name="筛选后增长率结果" sheetId="3" r:id="R7593e0deb81647c4"/>
    <x:sheet xmlns:r="http://schemas.openxmlformats.org/officeDocument/2006/relationships" name="门店静态因子表_筛选后" sheetId="4" r:id="R3b94954a268345e9"/>
    <x:sheet xmlns:r="http://schemas.openxmlformats.org/officeDocument/2006/relationships" name="门店结果表_筛选后" sheetId="5" r:id="R0cac77bbd4f44769"/>
    <x:sheet xmlns:r="http://schemas.openxmlformats.org/officeDocument/2006/relationships" name="合并底表_筛选后" sheetId="6" r:id="R8f57b4ffbd534056"/>
    <x:sheet xmlns:r="http://schemas.openxmlformats.org/officeDocument/2006/relationships" name="合并底表_连接增长率" sheetId="7" r:id="R88c328fb1312492e"/>
    <x:sheet xmlns:r="http://schemas.openxmlformats.org/officeDocument/2006/relationships" name="新的建模底表" sheetId="8" r:id="R1a69e6e7fd524522"/>
    <x:sheet xmlns:r="http://schemas.openxmlformats.org/officeDocument/2006/relationships" name="字段说明_新建模底表" sheetId="9" r:id="Rdea22e7aa75c44b8"/>
  </x:sheets>
  <x:definedNames>
    <x:definedName name="_xlnm._FilterDatabase" localSheetId="1" hidden="1">'R2小于0.3剔除样本'!$A$1:$M$10</x:definedName>
    <x:definedName name="_xlnm._FilterDatabase" localSheetId="2" hidden="1">'筛选后增长率结果'!$A$1:$M$41</x:definedName>
    <x:definedName name="_xlnm._FilterDatabase" localSheetId="3" hidden="1">'门店静态因子表_筛选后'!$A$1:$Y$41</x:definedName>
    <x:definedName name="_xlnm._FilterDatabase" localSheetId="4" hidden="1">'门店结果表_筛选后'!$A$1:$AN$41</x:definedName>
    <x:definedName name="_xlnm._FilterDatabase" localSheetId="5" hidden="1">'合并底表_筛选后'!$A$1:$BL$41</x:definedName>
    <x:definedName name="_xlnm._FilterDatabase" localSheetId="6" hidden="1">'合并底表_连接增长率'!$A$1:$BX$41</x:definedName>
    <x:definedName name="_xlnm._FilterDatabase" localSheetId="7" hidden="1">'新的建模底表'!$A$3:$AM$43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"/>
    <x:numFmt numFmtId="165" formatCode="yyyy-mm-dd h:mm:ss"/>
    <x:numFmt numFmtId="166" formatCode="yyyy-mm-dd"/>
    <x:numFmt numFmtId="167" formatCode="0.0%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color rgb="00008000"/>
    </x:font>
    <x:font>
      <x:color rgb="00000000"/>
    </x:font>
  </x:fonts>
  <x:fills count="12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DDEBF7"/>
      </x:patternFill>
    </x:fill>
    <x:fill>
      <x:patternFill patternType="solid">
        <x:fgColor rgb="00EDEDED"/>
      </x:patternFill>
    </x:fill>
    <x:fill>
      <x:patternFill patternType="solid">
        <x:fgColor rgb="00F4CCCC"/>
      </x:patternFill>
    </x:fill>
    <x:fill>
      <x:patternFill patternType="solid">
        <x:fgColor rgb="00FCE4D6"/>
      </x:patternFill>
    </x:fill>
    <x:fill>
      <x:patternFill patternType="solid">
        <x:fgColor rgb="00E4DFEC"/>
      </x:patternFill>
    </x:fill>
    <x:fill>
      <x:patternFill patternType="solid">
        <x:fgColor rgb="00E2F0D9"/>
      </x:patternFill>
    </x:fill>
    <x:fill>
      <x:patternFill patternType="solid">
        <x:fgColor rgb="00FFE69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1" xfId="0" applyAlignment="1">
      <x:alignment horizontal="center"/>
    </x:xf>
    <x:xf numFmtId="0" fontId="0" fillId="3" borderId="1" xfId="0"/>
    <x:xf numFmtId="0" fontId="0" fillId="0" borderId="1" xfId="0"/>
    <x:xf numFmtId="0" fontId="1" fillId="2" borderId="1" xfId="0" applyAlignment="1">
      <x:alignment horizontal="center" vertical="center"/>
    </x:xf>
    <x:xf numFmtId="164" fontId="0" fillId="0" borderId="1" xfId="0"/>
    <x:xf numFmtId="165" fontId="0" fillId="0" borderId="1" xfId="0"/>
    <x:xf numFmtId="0" fontId="2" fillId="3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2" fontId="3" fillId="0" borderId="1" xfId="0"/>
    <x:xf numFmtId="166" fontId="3" fillId="0" borderId="1" xfId="0"/>
    <x:xf numFmtId="167" fontId="3" fillId="0" borderId="1" xfId="0"/>
    <x:xf numFmtId="2" fontId="4" fillId="0" borderId="1" xfId="0"/>
    <x:xf numFmtId="167" fontId="4" fillId="0" borderId="1" xfId="0"/>
    <x:xf numFmtId="0" fontId="0" fillId="4" borderId="1" xfId="0"/>
    <x:xf numFmtId="0" fontId="0" fillId="5" borderId="1" xfId="0"/>
    <x:xf numFmtId="0" fontId="0" fillId="6" borderId="1" xfId="0"/>
    <x:xf numFmtId="0" fontId="0" fillId="7" borderId="1" xfId="0"/>
    <x:xf numFmtId="0" fontId="0" fillId="8" borderId="1" xfId="0"/>
    <x:xf numFmtId="0" fontId="0" fillId="9" borderId="1" xfId="0"/>
    <x:xf numFmtId="0" fontId="0" fillId="10" borderId="1" xfId="0"/>
    <x:xf numFmtId="0" fontId="0" fillId="11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e0710d41147f1" /><Relationship Type="http://schemas.openxmlformats.org/officeDocument/2006/relationships/theme" Target="/xl/theme/theme1.xml" Id="R5b80653b965a48ca" /><Relationship Type="http://schemas.openxmlformats.org/officeDocument/2006/relationships/sharedStrings" Target="/xl/sharedStrings.xml" Id="R0603390da3f74569" /><Relationship Type="http://schemas.openxmlformats.org/officeDocument/2006/relationships/worksheet" Target="/xl/worksheets/sheet1.xml" Id="Ra3942faa550944a7" /><Relationship Type="http://schemas.openxmlformats.org/officeDocument/2006/relationships/worksheet" Target="/xl/worksheets/sheet2.xml" Id="R013051f636e247b5" /><Relationship Type="http://schemas.openxmlformats.org/officeDocument/2006/relationships/worksheet" Target="/xl/worksheets/sheet3.xml" Id="R7593e0deb81647c4" /><Relationship Type="http://schemas.openxmlformats.org/officeDocument/2006/relationships/worksheet" Target="/xl/worksheets/sheet4.xml" Id="R3b94954a268345e9" /><Relationship Type="http://schemas.openxmlformats.org/officeDocument/2006/relationships/worksheet" Target="/xl/worksheets/sheet5.xml" Id="R0cac77bbd4f44769" /><Relationship Type="http://schemas.openxmlformats.org/officeDocument/2006/relationships/worksheet" Target="/xl/worksheets/sheet6.xml" Id="R8f57b4ffbd534056" /><Relationship Type="http://schemas.openxmlformats.org/officeDocument/2006/relationships/worksheet" Target="/xl/worksheets/sheet7.xml" Id="R88c328fb1312492e" /><Relationship Type="http://schemas.openxmlformats.org/officeDocument/2006/relationships/worksheet" Target="/xl/worksheets/sheet8.xml" Id="R1a69e6e7fd524522" /><Relationship Type="http://schemas.openxmlformats.org/officeDocument/2006/relationships/worksheet" Target="/xl/worksheets/sheet9.xml" Id="Rdea22e7aa75c44b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60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结果</x:t>
        </x:is>
      </x:c>
    </x:row>
    <x:row r="2">
      <x:c r="A2" s="2" t="inlineStr">
        <x:is>
          <x:t xml:space="preserve">原增长率结果站点数</x:t>
        </x:is>
      </x:c>
      <x:c r="B2" s="3" t="n">
        <x:v>49</x:v>
      </x:c>
    </x:row>
    <x:row r="3">
      <x:c r="A3" s="2" t="inlineStr">
        <x:is>
          <x:t xml:space="preserve">R2&lt;0.3剔除站点数</x:t>
        </x:is>
      </x:c>
      <x:c r="B3" s="3" t="n">
        <x:v>9</x:v>
      </x:c>
    </x:row>
    <x:row r="4">
      <x:c r="A4" s="2" t="inlineStr">
        <x:is>
          <x:t xml:space="preserve">R2&gt;=0.3保留站点数</x:t>
        </x:is>
      </x:c>
      <x:c r="B4" s="3" t="n">
        <x:v>40</x:v>
      </x:c>
    </x:row>
    <x:row r="5">
      <x:c r="A5" s="2" t="inlineStr">
        <x:is>
          <x:t xml:space="preserve">分析底表过滤后静态表站点数</x:t>
        </x:is>
      </x:c>
      <x:c r="B5" s="3" t="n">
        <x:v>40</x:v>
      </x:c>
    </x:row>
    <x:row r="6">
      <x:c r="A6" s="2" t="inlineStr">
        <x:is>
          <x:t xml:space="preserve">分析底表过滤后结果表站点数</x:t>
        </x:is>
      </x:c>
      <x:c r="B6" s="3" t="n">
        <x:v>40</x:v>
      </x:c>
    </x:row>
    <x:row r="7">
      <x:c r="A7" s="2" t="inlineStr">
        <x:is>
          <x:t xml:space="preserve">分析底表过滤后合并表站点数</x:t>
        </x:is>
      </x:c>
      <x:c r="B7" s="3" t="n">
        <x:v>40</x:v>
      </x:c>
    </x:row>
    <x:row r="8">
      <x:c r="A8" s="2" t="inlineStr">
        <x:is>
          <x:t xml:space="preserve">连接后底表站点数</x:t>
        </x:is>
      </x:c>
      <x:c r="B8" s="3" t="n">
        <x:v>40</x:v>
      </x:c>
    </x:row>
    <x:row r="9">
      <x:c r="A9" s="2" t="inlineStr">
        <x:is>
          <x:t xml:space="preserve">说明</x:t>
        </x:is>
      </x:c>
      <x:c r="B9" s="3" t="inlineStr">
        <x:is>
          <x:t xml:space="preserve">已将R2&lt;0.3的站点从统计样本中剔除，并按站点ID与分析底表进行连接。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9" customWidth="1"/>
    <x:col min="7" max="7" width="22" customWidth="1"/>
    <x:col min="8" max="8" width="23" customWidth="1"/>
    <x:col min="9" max="9" width="21" customWidth="1"/>
    <x:col min="10" max="10" width="19" customWidth="1"/>
    <x:col min="11" max="11" width="19" customWidth="1"/>
    <x:col min="12" max="12" width="19" customWidth="1"/>
    <x:col min="13" max="13" width="21" customWidth="1"/>
  </x:cols>
  <x:sheetData>
    <x:row r="1">
      <x:c r="A1" s="4" t="inlineStr">
        <x:is>
          <x:t xml:space="preserve">站点ID</x:t>
        </x:is>
      </x:c>
      <x:c r="B1" s="4" t="inlineStr">
        <x:is>
          <x:t xml:space="preserve">开站月份</x:t>
        </x:is>
      </x:c>
      <x:c r="C1" s="4" t="inlineStr">
        <x:is>
          <x:t xml:space="preserve">样本月数</x:t>
        </x:is>
      </x:c>
      <x:c r="D1" s="4" t="inlineStr">
        <x:is>
          <x:t xml:space="preserve">最小站龄月</x:t>
        </x:is>
      </x:c>
      <x:c r="E1" s="4" t="inlineStr">
        <x:is>
          <x:t xml:space="preserve">最大站龄月</x:t>
        </x:is>
      </x:c>
      <x:c r="F1" s="4" t="inlineStr">
        <x:is>
          <x:t xml:space="preserve">回归截距</x:t>
        </x:is>
      </x:c>
      <x:c r="G1" s="4" t="inlineStr">
        <x:is>
          <x:t xml:space="preserve">回归斜率_每增加1个站龄月日均单量增加值</x:t>
        </x:is>
      </x:c>
      <x:c r="H1" s="4" t="inlineStr">
        <x:is>
          <x:t xml:space="preserve">相对月增长率_按预测M0口径</x:t>
        </x:is>
      </x:c>
      <x:c r="I1" s="4" t="inlineStr">
        <x:is>
          <x:t xml:space="preserve">相对月增长率_按预测M0口径(%)</x:t>
        </x:is>
      </x:c>
      <x:c r="J1" s="4" t="inlineStr">
        <x:is>
          <x:t xml:space="preserve">预测M0日均单量</x:t>
        </x:is>
      </x:c>
      <x:c r="K1" s="4" t="inlineStr">
        <x:is>
          <x:t xml:space="preserve">预测首月样本点日均单量</x:t>
        </x:is>
      </x:c>
      <x:c r="L1" s="4" t="inlineStr">
        <x:is>
          <x:t xml:space="preserve">预测末月样本点日均单量</x:t>
        </x:is>
      </x:c>
      <x:c r="M1" s="4" t="inlineStr">
        <x:is>
          <x:t xml:space="preserve">R2</x:t>
        </x:is>
      </x:c>
    </x:row>
    <x:row r="2">
      <x:c r="A2" s="3" t="n">
        <x:v>10000973</x:v>
      </x:c>
      <x:c r="B2" s="3" t="n">
        <x:v>202405</x:v>
      </x:c>
      <x:c r="C2" s="3" t="n">
        <x:v>20</x:v>
      </x:c>
      <x:c r="D2" s="3" t="n">
        <x:v>0</x:v>
      </x:c>
      <x:c r="E2" s="3" t="n">
        <x:v>19</x:v>
      </x:c>
      <x:c r="F2" s="5" t="n">
        <x:v>1410.269047619048</x:v>
      </x:c>
      <x:c r="G2" s="5" t="n">
        <x:v>-8.533408521303315</x:v>
      </x:c>
      <x:c r="H2" s="5" t="n">
        <x:v>-0.006050908183591093</x:v>
      </x:c>
      <x:c r="I2" s="5" t="n">
        <x:v>-0.6050908183591093</x:v>
      </x:c>
      <x:c r="J2" s="5" t="n">
        <x:v>1410.269047619048</x:v>
      </x:c>
      <x:c r="K2" s="5" t="n">
        <x:v>1410.269047619048</x:v>
      </x:c>
      <x:c r="L2" s="5" t="n">
        <x:v>1248.134285714285</x:v>
      </x:c>
      <x:c r="M2" s="5" t="n">
        <x:v>0.02324800372752422</x:v>
      </x:c>
    </x:row>
    <x:row r="3">
      <x:c r="A3" s="3" t="n">
        <x:v>10000988</x:v>
      </x:c>
      <x:c r="B3" s="3" t="n">
        <x:v>202406</x:v>
      </x:c>
      <x:c r="C3" s="3" t="n">
        <x:v>19</x:v>
      </x:c>
      <x:c r="D3" s="3" t="n">
        <x:v>0</x:v>
      </x:c>
      <x:c r="E3" s="3" t="n">
        <x:v>18</x:v>
      </x:c>
      <x:c r="F3" s="5" t="n">
        <x:v>1236.592105263159</x:v>
      </x:c>
      <x:c r="G3" s="5" t="n">
        <x:v>-10.21081871345033</x:v>
      </x:c>
      <x:c r="H3" s="5" t="n">
        <x:v>-0.008257224569032301</x:v>
      </x:c>
      <x:c r="I3" s="5" t="n">
        <x:v>-0.8257224569032301</x:v>
      </x:c>
      <x:c r="J3" s="5" t="n">
        <x:v>1236.592105263159</x:v>
      </x:c>
      <x:c r="K3" s="5" t="n">
        <x:v>1236.592105263159</x:v>
      </x:c>
      <x:c r="L3" s="5" t="n">
        <x:v>1052.797368421053</x:v>
      </x:c>
      <x:c r="M3" s="5" t="n">
        <x:v>0.02664928183401394</x:v>
      </x:c>
    </x:row>
    <x:row r="4">
      <x:c r="A4" s="3" t="n">
        <x:v>10000983</x:v>
      </x:c>
      <x:c r="B4" s="3" t="n">
        <x:v>202406</x:v>
      </x:c>
      <x:c r="C4" s="3" t="n">
        <x:v>19</x:v>
      </x:c>
      <x:c r="D4" s="3" t="n">
        <x:v>0</x:v>
      </x:c>
      <x:c r="E4" s="3" t="n">
        <x:v>18</x:v>
      </x:c>
      <x:c r="F4" s="5" t="n">
        <x:v>1479.22105263158</x:v>
      </x:c>
      <x:c r="G4" s="5" t="n">
        <x:v>17.89356725146194</x:v>
      </x:c>
      <x:c r="H4" s="5" t="n">
        <x:v>0.01209661478223876</x:v>
      </x:c>
      <x:c r="I4" s="5" t="n">
        <x:v>1.209661478223876</x:v>
      </x:c>
      <x:c r="J4" s="5" t="n">
        <x:v>1479.22105263158</x:v>
      </x:c>
      <x:c r="K4" s="5" t="n">
        <x:v>1479.22105263158</x:v>
      </x:c>
      <x:c r="L4" s="5" t="n">
        <x:v>1801.305263157895</x:v>
      </x:c>
      <x:c r="M4" s="5" t="n">
        <x:v>0.09928152337115048</x:v>
      </x:c>
    </x:row>
    <x:row r="5">
      <x:c r="A5" s="3" t="n">
        <x:v>10000991</x:v>
      </x:c>
      <x:c r="B5" s="3" t="n">
        <x:v>202407</x:v>
      </x:c>
      <x:c r="C5" s="3" t="n">
        <x:v>18</x:v>
      </x:c>
      <x:c r="D5" s="3" t="n">
        <x:v>0</x:v>
      </x:c>
      <x:c r="E5" s="3" t="n">
        <x:v>17</x:v>
      </x:c>
      <x:c r="F5" s="5" t="n">
        <x:v>1240.511500974659</x:v>
      </x:c>
      <x:c r="G5" s="5" t="n">
        <x:v>22.01128310973514</x:v>
      </x:c>
      <x:c r="H5" s="5" t="n">
        <x:v>0.0177437154693375</x:v>
      </x:c>
      <x:c r="I5" s="5" t="n">
        <x:v>1.77437154693375</x:v>
      </x:c>
      <x:c r="J5" s="5" t="n">
        <x:v>1240.511500974659</x:v>
      </x:c>
      <x:c r="K5" s="5" t="n">
        <x:v>1240.511500974659</x:v>
      </x:c>
      <x:c r="L5" s="5" t="n">
        <x:v>1614.703313840156</x:v>
      </x:c>
      <x:c r="M5" s="5" t="n">
        <x:v>0.1209583556166036</x:v>
      </x:c>
    </x:row>
    <x:row r="6">
      <x:c r="A6" s="3" t="n">
        <x:v>10000905</x:v>
      </x:c>
      <x:c r="B6" s="3" t="n">
        <x:v>202311</x:v>
      </x:c>
      <x:c r="C6" s="3" t="n">
        <x:v>26</x:v>
      </x:c>
      <x:c r="D6" s="3" t="n">
        <x:v>0</x:v>
      </x:c>
      <x:c r="E6" s="3" t="n">
        <x:v>25</x:v>
      </x:c>
      <x:c r="F6" s="5" t="n">
        <x:v>1269.369230769231</x:v>
      </x:c>
      <x:c r="G6" s="5" t="n">
        <x:v>19.696</x:v>
      </x:c>
      <x:c r="H6" s="5" t="n">
        <x:v>0.01551636791137936</x:v>
      </x:c>
      <x:c r="I6" s="5" t="n">
        <x:v>1.551636791137936</x:v>
      </x:c>
      <x:c r="J6" s="5" t="n">
        <x:v>1269.369230769231</x:v>
      </x:c>
      <x:c r="K6" s="5" t="n">
        <x:v>1269.369230769231</x:v>
      </x:c>
      <x:c r="L6" s="5" t="n">
        <x:v>1761.76923076923</x:v>
      </x:c>
      <x:c r="M6" s="5" t="n">
        <x:v>0.1386423335283441</x:v>
      </x:c>
    </x:row>
    <x:row r="7">
      <x:c r="A7" s="3" t="n">
        <x:v>10000969</x:v>
      </x:c>
      <x:c r="B7" s="3" t="n">
        <x:v>202405</x:v>
      </x:c>
      <x:c r="C7" s="3" t="n">
        <x:v>20</x:v>
      </x:c>
      <x:c r="D7" s="3" t="n">
        <x:v>0</x:v>
      </x:c>
      <x:c r="E7" s="3" t="n">
        <x:v>19</x:v>
      </x:c>
      <x:c r="F7" s="5" t="n">
        <x:v>1835.52761904762</x:v>
      </x:c>
      <x:c r="G7" s="5" t="n">
        <x:v>28.64551378446109</x:v>
      </x:c>
      <x:c r="H7" s="5" t="n">
        <x:v>0.01560614696679098</x:v>
      </x:c>
      <x:c r="I7" s="5" t="n">
        <x:v>1.560614696679098</x:v>
      </x:c>
      <x:c r="J7" s="5" t="n">
        <x:v>1835.52761904762</x:v>
      </x:c>
      <x:c r="K7" s="5" t="n">
        <x:v>1835.52761904762</x:v>
      </x:c>
      <x:c r="L7" s="5" t="n">
        <x:v>2379.79238095238</x:v>
      </x:c>
      <x:c r="M7" s="5" t="n">
        <x:v>0.151297114824848</x:v>
      </x:c>
    </x:row>
    <x:row r="8">
      <x:c r="A8" s="3" t="n">
        <x:v>10000735</x:v>
      </x:c>
      <x:c r="B8" s="3" t="n">
        <x:v>202306</x:v>
      </x:c>
      <x:c r="C8" s="3" t="n">
        <x:v>31</x:v>
      </x:c>
      <x:c r="D8" s="3" t="n">
        <x:v>0</x:v>
      </x:c>
      <x:c r="E8" s="3" t="n">
        <x:v>30</x:v>
      </x:c>
      <x:c r="F8" s="5" t="n">
        <x:v>1343.719220430108</x:v>
      </x:c>
      <x:c r="G8" s="5" t="n">
        <x:v>9.014274193548358</x:v>
      </x:c>
      <x:c r="H8" s="5" t="n">
        <x:v>0.006708450736205887</x:v>
      </x:c>
      <x:c r="I8" s="5" t="n">
        <x:v>0.6708450736205886</x:v>
      </x:c>
      <x:c r="J8" s="5" t="n">
        <x:v>1343.719220430108</x:v>
      </x:c>
      <x:c r="K8" s="5" t="n">
        <x:v>1343.719220430108</x:v>
      </x:c>
      <x:c r="L8" s="5" t="n">
        <x:v>1614.147446236559</x:v>
      </x:c>
      <x:c r="M8" s="5" t="n">
        <x:v>0.1629584892968334</x:v>
      </x:c>
    </x:row>
    <x:row r="9">
      <x:c r="A9" s="3" t="n">
        <x:v>10000870</x:v>
      </x:c>
      <x:c r="B9" s="3" t="n">
        <x:v>202311</x:v>
      </x:c>
      <x:c r="C9" s="3" t="n">
        <x:v>26</x:v>
      </x:c>
      <x:c r="D9" s="3" t="n">
        <x:v>0</x:v>
      </x:c>
      <x:c r="E9" s="3" t="n">
        <x:v>25</x:v>
      </x:c>
      <x:c r="F9" s="5" t="n">
        <x:v>1662.641310541311</x:v>
      </x:c>
      <x:c r="G9" s="5" t="n">
        <x:v>21.72110541310543</x:v>
      </x:c>
      <x:c r="H9" s="5" t="n">
        <x:v>0.01306421612129535</x:v>
      </x:c>
      <x:c r="I9" s="5" t="n">
        <x:v>1.306421612129535</x:v>
      </x:c>
      <x:c r="J9" s="5" t="n">
        <x:v>1662.641310541311</x:v>
      </x:c>
      <x:c r="K9" s="5" t="n">
        <x:v>1662.641310541311</x:v>
      </x:c>
      <x:c r="L9" s="5" t="n">
        <x:v>2205.668945868947</x:v>
      </x:c>
      <x:c r="M9" s="5" t="n">
        <x:v>0.1641876715733899</x:v>
      </x:c>
    </x:row>
    <x:row r="10">
      <x:c r="A10" s="3" t="n">
        <x:v>10000974</x:v>
      </x:c>
      <x:c r="B10" s="3" t="n">
        <x:v>202406</x:v>
      </x:c>
      <x:c r="C10" s="3" t="n">
        <x:v>19</x:v>
      </x:c>
      <x:c r="D10" s="3" t="n">
        <x:v>0</x:v>
      </x:c>
      <x:c r="E10" s="3" t="n">
        <x:v>18</x:v>
      </x:c>
      <x:c r="F10" s="5" t="n">
        <x:v>1353.281403508772</x:v>
      </x:c>
      <x:c r="G10" s="5" t="n">
        <x:v>30.35801169590639</x:v>
      </x:c>
      <x:c r="H10" s="5" t="n">
        <x:v>0.02243288913687463</x:v>
      </x:c>
      <x:c r="I10" s="5" t="n">
        <x:v>2.243288913687463</x:v>
      </x:c>
      <x:c r="J10" s="5" t="n">
        <x:v>1353.281403508772</x:v>
      </x:c>
      <x:c r="K10" s="5" t="n">
        <x:v>1353.281403508772</x:v>
      </x:c>
      <x:c r="L10" s="5" t="n">
        <x:v>1899.725614035087</x:v>
      </x:c>
      <x:c r="M10" s="5" t="n">
        <x:v>0.2948162133116914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9" customWidth="1"/>
    <x:col min="7" max="7" width="22" customWidth="1"/>
    <x:col min="8" max="8" width="21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20" customWidth="1"/>
  </x:cols>
  <x:sheetData>
    <x:row r="1">
      <x:c r="A1" s="4" t="inlineStr">
        <x:is>
          <x:t xml:space="preserve">站点ID</x:t>
        </x:is>
      </x:c>
      <x:c r="B1" s="4" t="inlineStr">
        <x:is>
          <x:t xml:space="preserve">开站月份</x:t>
        </x:is>
      </x:c>
      <x:c r="C1" s="4" t="inlineStr">
        <x:is>
          <x:t xml:space="preserve">样本月数</x:t>
        </x:is>
      </x:c>
      <x:c r="D1" s="4" t="inlineStr">
        <x:is>
          <x:t xml:space="preserve">最小站龄月</x:t>
        </x:is>
      </x:c>
      <x:c r="E1" s="4" t="inlineStr">
        <x:is>
          <x:t xml:space="preserve">最大站龄月</x:t>
        </x:is>
      </x:c>
      <x:c r="F1" s="4" t="inlineStr">
        <x:is>
          <x:t xml:space="preserve">回归截距</x:t>
        </x:is>
      </x:c>
      <x:c r="G1" s="4" t="inlineStr">
        <x:is>
          <x:t xml:space="preserve">回归斜率_每增加1个站龄月日均单量增加值</x:t>
        </x:is>
      </x:c>
      <x:c r="H1" s="4" t="inlineStr">
        <x:is>
          <x:t xml:space="preserve">相对月增长率_按预测M0口径</x:t>
        </x:is>
      </x:c>
      <x:c r="I1" s="4" t="inlineStr">
        <x:is>
          <x:t xml:space="preserve">相对月增长率_按预测M0口径(%)</x:t>
        </x:is>
      </x:c>
      <x:c r="J1" s="4" t="inlineStr">
        <x:is>
          <x:t xml:space="preserve">预测M0日均单量</x:t>
        </x:is>
      </x:c>
      <x:c r="K1" s="4" t="inlineStr">
        <x:is>
          <x:t xml:space="preserve">预测首月样本点日均单量</x:t>
        </x:is>
      </x:c>
      <x:c r="L1" s="4" t="inlineStr">
        <x:is>
          <x:t xml:space="preserve">预测末月样本点日均单量</x:t>
        </x:is>
      </x:c>
      <x:c r="M1" s="4" t="inlineStr">
        <x:is>
          <x:t xml:space="preserve">R2</x:t>
        </x:is>
      </x:c>
    </x:row>
    <x:row r="2">
      <x:c r="A2" s="3" t="n">
        <x:v>10000688</x:v>
      </x:c>
      <x:c r="B2" s="3" t="n">
        <x:v>202304</x:v>
      </x:c>
      <x:c r="C2" s="3" t="n">
        <x:v>33</x:v>
      </x:c>
      <x:c r="D2" s="3" t="n">
        <x:v>0</x:v>
      </x:c>
      <x:c r="E2" s="3" t="n">
        <x:v>32</x:v>
      </x:c>
      <x:c r="F2" s="5" t="n">
        <x:v>1363.510338680927</x:v>
      </x:c>
      <x:c r="G2" s="5" t="n">
        <x:v>15.00446746880568</x:v>
      </x:c>
      <x:c r="H2" s="5" t="n">
        <x:v>0.0110042931418629</x:v>
      </x:c>
      <x:c r="I2" s="5" t="n">
        <x:v>1.10042931418629</x:v>
      </x:c>
      <x:c r="J2" s="5" t="n">
        <x:v>1363.510338680927</x:v>
      </x:c>
      <x:c r="K2" s="5" t="n">
        <x:v>1363.510338680927</x:v>
      </x:c>
      <x:c r="L2" s="5" t="n">
        <x:v>1843.653297682709</x:v>
      </x:c>
      <x:c r="M2" s="5" t="n">
        <x:v>0.3780834310942728</x:v>
      </x:c>
    </x:row>
    <x:row r="3">
      <x:c r="A3" s="3" t="n">
        <x:v>10000691</x:v>
      </x:c>
      <x:c r="B3" s="3" t="n">
        <x:v>202304</x:v>
      </x:c>
      <x:c r="C3" s="3" t="n">
        <x:v>33</x:v>
      </x:c>
      <x:c r="D3" s="3" t="n">
        <x:v>0</x:v>
      </x:c>
      <x:c r="E3" s="3" t="n">
        <x:v>32</x:v>
      </x:c>
      <x:c r="F3" s="5" t="n">
        <x:v>1031.131016042781</x:v>
      </x:c>
      <x:c r="G3" s="5" t="n">
        <x:v>26.75809937611408</x:v>
      </x:c>
      <x:c r="H3" s="5" t="n">
        <x:v>0.02595024197681966</x:v>
      </x:c>
      <x:c r="I3" s="5" t="n">
        <x:v>2.595024197681966</x:v>
      </x:c>
      <x:c r="J3" s="5" t="n">
        <x:v>1031.131016042781</x:v>
      </x:c>
      <x:c r="K3" s="5" t="n">
        <x:v>1031.131016042781</x:v>
      </x:c>
      <x:c r="L3" s="5" t="n">
        <x:v>1887.390196078431</x:v>
      </x:c>
      <x:c r="M3" s="5" t="n">
        <x:v>0.6125808524246308</x:v>
      </x:c>
    </x:row>
    <x:row r="4">
      <x:c r="A4" s="3" t="n">
        <x:v>10000692</x:v>
      </x:c>
      <x:c r="B4" s="3" t="n">
        <x:v>202305</x:v>
      </x:c>
      <x:c r="C4" s="3" t="n">
        <x:v>32</x:v>
      </x:c>
      <x:c r="D4" s="3" t="n">
        <x:v>0</x:v>
      </x:c>
      <x:c r="E4" s="3" t="n">
        <x:v>31</x:v>
      </x:c>
      <x:c r="F4" s="5" t="n">
        <x:v>1092.561742424242</x:v>
      </x:c>
      <x:c r="G4" s="5" t="n">
        <x:v>33.56664833822095</x:v>
      </x:c>
      <x:c r="H4" s="5" t="n">
        <x:v>0.03072288460672369</x:v>
      </x:c>
      <x:c r="I4" s="5" t="n">
        <x:v>3.072288460672369</x:v>
      </x:c>
      <x:c r="J4" s="5" t="n">
        <x:v>1092.561742424242</x:v>
      </x:c>
      <x:c r="K4" s="5" t="n">
        <x:v>1092.561742424242</x:v>
      </x:c>
      <x:c r="L4" s="5" t="n">
        <x:v>2133.127840909091</x:v>
      </x:c>
      <x:c r="M4" s="5" t="n">
        <x:v>0.7016810137480547</x:v>
      </x:c>
    </x:row>
    <x:row r="5">
      <x:c r="A5" s="3" t="n">
        <x:v>10000693</x:v>
      </x:c>
      <x:c r="B5" s="3" t="n">
        <x:v>202305</x:v>
      </x:c>
      <x:c r="C5" s="3" t="n">
        <x:v>32</x:v>
      </x:c>
      <x:c r="D5" s="3" t="n">
        <x:v>0</x:v>
      </x:c>
      <x:c r="E5" s="3" t="n">
        <x:v>31</x:v>
      </x:c>
      <x:c r="F5" s="5" t="n">
        <x:v>1240.027272727272</x:v>
      </x:c>
      <x:c r="G5" s="5" t="n">
        <x:v>21.07095552297168</x:v>
      </x:c>
      <x:c r="H5" s="5" t="n">
        <x:v>0.01699233233526305</x:v>
      </x:c>
      <x:c r="I5" s="5" t="n">
        <x:v>1.699233233526305</x:v>
      </x:c>
      <x:c r="J5" s="5" t="n">
        <x:v>1240.027272727272</x:v>
      </x:c>
      <x:c r="K5" s="5" t="n">
        <x:v>1240.027272727272</x:v>
      </x:c>
      <x:c r="L5" s="5" t="n">
        <x:v>1893.226893939394</x:v>
      </x:c>
      <x:c r="M5" s="5" t="n">
        <x:v>0.3996691138438618</x:v>
      </x:c>
    </x:row>
    <x:row r="6">
      <x:c r="A6" s="3" t="n">
        <x:v>10000694</x:v>
      </x:c>
      <x:c r="B6" s="3" t="n">
        <x:v>202305</x:v>
      </x:c>
      <x:c r="C6" s="3" t="n">
        <x:v>32</x:v>
      </x:c>
      <x:c r="D6" s="3" t="n">
        <x:v>0</x:v>
      </x:c>
      <x:c r="E6" s="3" t="n">
        <x:v>31</x:v>
      </x:c>
      <x:c r="F6" s="5" t="n">
        <x:v>1079.726136363635</x:v>
      </x:c>
      <x:c r="G6" s="5" t="n">
        <x:v>31.27082722385143</x:v>
      </x:c>
      <x:c r="H6" s="5" t="n">
        <x:v>0.02896181371432495</x:v>
      </x:c>
      <x:c r="I6" s="5" t="n">
        <x:v>2.896181371432495</x:v>
      </x:c>
      <x:c r="J6" s="5" t="n">
        <x:v>1079.726136363635</x:v>
      </x:c>
      <x:c r="K6" s="5" t="n">
        <x:v>1079.726136363635</x:v>
      </x:c>
      <x:c r="L6" s="5" t="n">
        <x:v>2049.121780303029</x:v>
      </x:c>
      <x:c r="M6" s="5" t="n">
        <x:v>0.6546905525703505</x:v>
      </x:c>
    </x:row>
    <x:row r="7">
      <x:c r="A7" s="3" t="n">
        <x:v>10000695</x:v>
      </x:c>
      <x:c r="B7" s="3" t="n">
        <x:v>202305</x:v>
      </x:c>
      <x:c r="C7" s="3" t="n">
        <x:v>32</x:v>
      </x:c>
      <x:c r="D7" s="3" t="n">
        <x:v>0</x:v>
      </x:c>
      <x:c r="E7" s="3" t="n">
        <x:v>31</x:v>
      </x:c>
      <x:c r="F7" s="5" t="n">
        <x:v>1233.900946969696</x:v>
      </x:c>
      <x:c r="G7" s="5" t="n">
        <x:v>47.68891739980453</x:v>
      </x:c>
      <x:c r="H7" s="5" t="n">
        <x:v>0.03864890250463172</x:v>
      </x:c>
      <x:c r="I7" s="5" t="n">
        <x:v>3.864890250463172</x:v>
      </x:c>
      <x:c r="J7" s="5" t="n">
        <x:v>1233.900946969696</x:v>
      </x:c>
      <x:c r="K7" s="5" t="n">
        <x:v>1233.900946969696</x:v>
      </x:c>
      <x:c r="L7" s="5" t="n">
        <x:v>2712.257386363636</x:v>
      </x:c>
      <x:c r="M7" s="5" t="n">
        <x:v>0.7662610528561689</x:v>
      </x:c>
    </x:row>
    <x:row r="8">
      <x:c r="A8" s="3" t="n">
        <x:v>10000702</x:v>
      </x:c>
      <x:c r="B8" s="3" t="n">
        <x:v>202305</x:v>
      </x:c>
      <x:c r="C8" s="3" t="n">
        <x:v>32</x:v>
      </x:c>
      <x:c r="D8" s="3" t="n">
        <x:v>0</x:v>
      </x:c>
      <x:c r="E8" s="3" t="n">
        <x:v>31</x:v>
      </x:c>
      <x:c r="F8" s="5" t="n">
        <x:v>1177.10606060606</x:v>
      </x:c>
      <x:c r="G8" s="5" t="n">
        <x:v>38.28186705767352</x:v>
      </x:c>
      <x:c r="H8" s="5" t="n">
        <x:v>0.03252202018054621</x:v>
      </x:c>
      <x:c r="I8" s="5" t="n">
        <x:v>3.252202018054621</x:v>
      </x:c>
      <x:c r="J8" s="5" t="n">
        <x:v>1177.10606060606</x:v>
      </x:c>
      <x:c r="K8" s="5" t="n">
        <x:v>1177.10606060606</x:v>
      </x:c>
      <x:c r="L8" s="5" t="n">
        <x:v>2363.843939393939</x:v>
      </x:c>
      <x:c r="M8" s="5" t="n">
        <x:v>0.6747380882439495</x:v>
      </x:c>
    </x:row>
    <x:row r="9">
      <x:c r="A9" s="3" t="n">
        <x:v>10000736</x:v>
      </x:c>
      <x:c r="B9" s="3" t="n">
        <x:v>202306</x:v>
      </x:c>
      <x:c r="C9" s="3" t="n">
        <x:v>31</x:v>
      </x:c>
      <x:c r="D9" s="3" t="n">
        <x:v>0</x:v>
      </x:c>
      <x:c r="E9" s="3" t="n">
        <x:v>30</x:v>
      </x:c>
      <x:c r="F9" s="5" t="n">
        <x:v>1073.322043010753</x:v>
      </x:c>
      <x:c r="G9" s="5" t="n">
        <x:v>77.89623655913978</x:v>
      </x:c>
      <x:c r="H9" s="5" t="n">
        <x:v>0.07257489685074826</x:v>
      </x:c>
      <x:c r="I9" s="5" t="n">
        <x:v>7.257489685074827</x:v>
      </x:c>
      <x:c r="J9" s="5" t="n">
        <x:v>1073.322043010753</x:v>
      </x:c>
      <x:c r="K9" s="5" t="n">
        <x:v>1073.322043010753</x:v>
      </x:c>
      <x:c r="L9" s="5" t="n">
        <x:v>3410.209139784946</x:v>
      </x:c>
      <x:c r="M9" s="5" t="n">
        <x:v>0.6842341953478618</x:v>
      </x:c>
    </x:row>
    <x:row r="10">
      <x:c r="A10" s="3" t="n">
        <x:v>10000737</x:v>
      </x:c>
      <x:c r="B10" s="3" t="n">
        <x:v>202307</x:v>
      </x:c>
      <x:c r="C10" s="3" t="n">
        <x:v>30</x:v>
      </x:c>
      <x:c r="D10" s="3" t="n">
        <x:v>0</x:v>
      </x:c>
      <x:c r="E10" s="3" t="n">
        <x:v>29</x:v>
      </x:c>
      <x:c r="F10" s="5" t="n">
        <x:v>1162.333763440861</x:v>
      </x:c>
      <x:c r="G10" s="5" t="n">
        <x:v>40.07238413051537</x:v>
      </x:c>
      <x:c r="H10" s="5" t="n">
        <x:v>0.03447579808048331</x:v>
      </x:c>
      <x:c r="I10" s="5" t="n">
        <x:v>3.447579808048331</x:v>
      </x:c>
      <x:c r="J10" s="5" t="n">
        <x:v>1162.333763440861</x:v>
      </x:c>
      <x:c r="K10" s="5" t="n">
        <x:v>1162.333763440861</x:v>
      </x:c>
      <x:c r="L10" s="5" t="n">
        <x:v>2324.432903225807</x:v>
      </x:c>
      <x:c r="M10" s="5" t="n">
        <x:v>0.586292221163792</x:v>
      </x:c>
    </x:row>
    <x:row r="11">
      <x:c r="A11" s="3" t="n">
        <x:v>10000738</x:v>
      </x:c>
      <x:c r="B11" s="3" t="n">
        <x:v>202306</x:v>
      </x:c>
      <x:c r="C11" s="3" t="n">
        <x:v>31</x:v>
      </x:c>
      <x:c r="D11" s="3" t="n">
        <x:v>0</x:v>
      </x:c>
      <x:c r="E11" s="3" t="n">
        <x:v>30</x:v>
      </x:c>
      <x:c r="F11" s="5" t="n">
        <x:v>1037.287231182796</x:v>
      </x:c>
      <x:c r="G11" s="5" t="n">
        <x:v>28.08293010752687</x:v>
      </x:c>
      <x:c r="H11" s="5" t="n">
        <x:v>0.0270734366174589</x:v>
      </x:c>
      <x:c r="I11" s="5" t="n">
        <x:v>2.70734366174589</x:v>
      </x:c>
      <x:c r="J11" s="5" t="n">
        <x:v>1037.287231182796</x:v>
      </x:c>
      <x:c r="K11" s="5" t="n">
        <x:v>1037.287231182796</x:v>
      </x:c>
      <x:c r="L11" s="5" t="n">
        <x:v>1879.775134408602</x:v>
      </x:c>
      <x:c r="M11" s="5" t="n">
        <x:v>0.495248655506252</x:v>
      </x:c>
    </x:row>
    <x:row r="12">
      <x:c r="A12" s="3" t="n">
        <x:v>10000739</x:v>
      </x:c>
      <x:c r="B12" s="3" t="n">
        <x:v>202306</x:v>
      </x:c>
      <x:c r="C12" s="3" t="n">
        <x:v>31</x:v>
      </x:c>
      <x:c r="D12" s="3" t="n">
        <x:v>0</x:v>
      </x:c>
      <x:c r="E12" s="3" t="n">
        <x:v>30</x:v>
      </x:c>
      <x:c r="F12" s="5" t="n">
        <x:v>1363.001814516129</x:v>
      </x:c>
      <x:c r="G12" s="5" t="n">
        <x:v>29.89772849462365</x:v>
      </x:c>
      <x:c r="H12" s="5" t="n">
        <x:v>0.02193520813854342</x:v>
      </x:c>
      <x:c r="I12" s="5" t="n">
        <x:v>2.193520813854342</x:v>
      </x:c>
      <x:c r="J12" s="5" t="n">
        <x:v>1363.001814516129</x:v>
      </x:c>
      <x:c r="K12" s="5" t="n">
        <x:v>1363.001814516129</x:v>
      </x:c>
      <x:c r="L12" s="5" t="n">
        <x:v>2259.933669354838</x:v>
      </x:c>
      <x:c r="M12" s="5" t="n">
        <x:v>0.5576002976972474</x:v>
      </x:c>
    </x:row>
    <x:row r="13">
      <x:c r="A13" s="3" t="n">
        <x:v>10000749</x:v>
      </x:c>
      <x:c r="B13" s="3" t="n">
        <x:v>202306</x:v>
      </x:c>
      <x:c r="C13" s="3" t="n">
        <x:v>31</x:v>
      </x:c>
      <x:c r="D13" s="3" t="n">
        <x:v>0</x:v>
      </x:c>
      <x:c r="E13" s="3" t="n">
        <x:v>30</x:v>
      </x:c>
      <x:c r="F13" s="5" t="n">
        <x:v>1019.264112903226</x:v>
      </x:c>
      <x:c r="G13" s="5" t="n">
        <x:v>14.1568010752688</x:v>
      </x:c>
      <x:c r="H13" s="5" t="n">
        <x:v>0.01388923724092003</x:v>
      </x:c>
      <x:c r="I13" s="5" t="n">
        <x:v>1.388923724092003</x:v>
      </x:c>
      <x:c r="J13" s="5" t="n">
        <x:v>1019.264112903226</x:v>
      </x:c>
      <x:c r="K13" s="5" t="n">
        <x:v>1019.264112903226</x:v>
      </x:c>
      <x:c r="L13" s="5" t="n">
        <x:v>1443.96814516129</x:v>
      </x:c>
      <x:c r="M13" s="5" t="n">
        <x:v>0.4486999008249162</x:v>
      </x:c>
    </x:row>
    <x:row r="14">
      <x:c r="A14" s="3" t="n">
        <x:v>10000757</x:v>
      </x:c>
      <x:c r="B14" s="3" t="n">
        <x:v>202307</x:v>
      </x:c>
      <x:c r="C14" s="3" t="n">
        <x:v>31</x:v>
      </x:c>
      <x:c r="D14" s="3" t="n">
        <x:v>0</x:v>
      </x:c>
      <x:c r="E14" s="3" t="n">
        <x:v>30</x:v>
      </x:c>
      <x:c r="F14" s="5" t="n">
        <x:v>881.1839381720433</x:v>
      </x:c>
      <x:c r="G14" s="5" t="n">
        <x:v>39.30221774193547</x:v>
      </x:c>
      <x:c r="H14" s="5" t="n">
        <x:v>0.04460160477217194</x:v>
      </x:c>
      <x:c r="I14" s="5" t="n">
        <x:v>4.460160477217194</x:v>
      </x:c>
      <x:c r="J14" s="5" t="n">
        <x:v>881.1839381720433</x:v>
      </x:c>
      <x:c r="K14" s="5" t="n">
        <x:v>881.1839381720433</x:v>
      </x:c>
      <x:c r="L14" s="5" t="n">
        <x:v>2060.250470430107</x:v>
      </x:c>
      <x:c r="M14" s="5" t="n">
        <x:v>0.6668791865120308</x:v>
      </x:c>
    </x:row>
    <x:row r="15">
      <x:c r="A15" s="3" t="n">
        <x:v>10000758</x:v>
      </x:c>
      <x:c r="B15" s="3" t="n">
        <x:v>202307</x:v>
      </x:c>
      <x:c r="C15" s="3" t="n">
        <x:v>30</x:v>
      </x:c>
      <x:c r="D15" s="3" t="n">
        <x:v>0</x:v>
      </x:c>
      <x:c r="E15" s="3" t="n">
        <x:v>29</x:v>
      </x:c>
      <x:c r="F15" s="5" t="n">
        <x:v>1137.185806451613</x:v>
      </x:c>
      <x:c r="G15" s="5" t="n">
        <x:v>41.3952317389692</x:v>
      </x:c>
      <x:c r="H15" s="5" t="n">
        <x:v>0.03640146711656179</x:v>
      </x:c>
      <x:c r="I15" s="5" t="n">
        <x:v>3.640146711656179</x:v>
      </x:c>
      <x:c r="J15" s="5" t="n">
        <x:v>1137.185806451613</x:v>
      </x:c>
      <x:c r="K15" s="5" t="n">
        <x:v>1137.185806451613</x:v>
      </x:c>
      <x:c r="L15" s="5" t="n">
        <x:v>2337.64752688172</x:v>
      </x:c>
      <x:c r="M15" s="5" t="n">
        <x:v>0.589597168889023</x:v>
      </x:c>
    </x:row>
    <x:row r="16">
      <x:c r="A16" s="3" t="n">
        <x:v>10000770</x:v>
      </x:c>
      <x:c r="B16" s="3" t="n">
        <x:v>202307</x:v>
      </x:c>
      <x:c r="C16" s="3" t="n">
        <x:v>30</x:v>
      </x:c>
      <x:c r="D16" s="3" t="n">
        <x:v>0</x:v>
      </x:c>
      <x:c r="E16" s="3" t="n">
        <x:v>29</x:v>
      </x:c>
      <x:c r="F16" s="5" t="n">
        <x:v>970.0215770609325</x:v>
      </x:c>
      <x:c r="G16" s="5" t="n">
        <x:v>53.16188357434186</x:v>
      </x:c>
      <x:c r="H16" s="5" t="n">
        <x:v>0.05480484644003178</x:v>
      </x:c>
      <x:c r="I16" s="5" t="n">
        <x:v>5.480484644003178</x:v>
      </x:c>
      <x:c r="J16" s="5" t="n">
        <x:v>970.0215770609325</x:v>
      </x:c>
      <x:c r="K16" s="5" t="n">
        <x:v>970.0215770609325</x:v>
      </x:c>
      <x:c r="L16" s="5" t="n">
        <x:v>2511.716200716846</x:v>
      </x:c>
      <x:c r="M16" s="5" t="n">
        <x:v>0.7673615167476908</x:v>
      </x:c>
    </x:row>
    <x:row r="17">
      <x:c r="A17" s="3" t="n">
        <x:v>10000771</x:v>
      </x:c>
      <x:c r="B17" s="3" t="n">
        <x:v>202307</x:v>
      </x:c>
      <x:c r="C17" s="3" t="n">
        <x:v>30</x:v>
      </x:c>
      <x:c r="D17" s="3" t="n">
        <x:v>0</x:v>
      </x:c>
      <x:c r="E17" s="3" t="n">
        <x:v>29</x:v>
      </x:c>
      <x:c r="F17" s="5" t="n">
        <x:v>1010.884372759857</x:v>
      </x:c>
      <x:c r="G17" s="5" t="n">
        <x:v>28.2235298479792</x:v>
      </x:c>
      <x:c r="H17" s="5" t="n">
        <x:v>0.02791964205651432</x:v>
      </x:c>
      <x:c r="I17" s="5" t="n">
        <x:v>2.791964205651432</x:v>
      </x:c>
      <x:c r="J17" s="5" t="n">
        <x:v>1010.884372759857</x:v>
      </x:c>
      <x:c r="K17" s="5" t="n">
        <x:v>1010.884372759857</x:v>
      </x:c>
      <x:c r="L17" s="5" t="n">
        <x:v>1829.366738351254</x:v>
      </x:c>
      <x:c r="M17" s="5" t="n">
        <x:v>0.6025788103465664</x:v>
      </x:c>
    </x:row>
    <x:row r="18">
      <x:c r="A18" s="3" t="n">
        <x:v>10000772</x:v>
      </x:c>
      <x:c r="B18" s="3" t="n">
        <x:v>202308</x:v>
      </x:c>
      <x:c r="C18" s="3" t="n">
        <x:v>29</x:v>
      </x:c>
      <x:c r="D18" s="3" t="n">
        <x:v>0</x:v>
      </x:c>
      <x:c r="E18" s="3" t="n">
        <x:v>28</x:v>
      </x:c>
      <x:c r="F18" s="5" t="n">
        <x:v>1073.520229885057</x:v>
      </x:c>
      <x:c r="G18" s="5" t="n">
        <x:v>27.66694581280786</x:v>
      </x:c>
      <x:c r="H18" s="5" t="n">
        <x:v>0.02577216995321102</x:v>
      </x:c>
      <x:c r="I18" s="5" t="n">
        <x:v>2.577216995321102</x:v>
      </x:c>
      <x:c r="J18" s="5" t="n">
        <x:v>1073.520229885057</x:v>
      </x:c>
      <x:c r="K18" s="5" t="n">
        <x:v>1073.520229885057</x:v>
      </x:c>
      <x:c r="L18" s="5" t="n">
        <x:v>1848.194712643677</x:v>
      </x:c>
      <x:c r="M18" s="5" t="n">
        <x:v>0.5083971468503194</x:v>
      </x:c>
    </x:row>
    <x:row r="19">
      <x:c r="A19" s="3" t="n">
        <x:v>10000801</x:v>
      </x:c>
      <x:c r="B19" s="3" t="n">
        <x:v>202308</x:v>
      </x:c>
      <x:c r="C19" s="3" t="n">
        <x:v>29</x:v>
      </x:c>
      <x:c r="D19" s="3" t="n">
        <x:v>0</x:v>
      </x:c>
      <x:c r="E19" s="3" t="n">
        <x:v>28</x:v>
      </x:c>
      <x:c r="F19" s="5" t="n">
        <x:v>1788.561379310346</x:v>
      </x:c>
      <x:c r="G19" s="5" t="n">
        <x:v>56.34003284072246</x:v>
      </x:c>
      <x:c r="H19" s="5" t="n">
        <x:v>0.03150019534831212</x:v>
      </x:c>
      <x:c r="I19" s="5" t="n">
        <x:v>3.150019534831213</x:v>
      </x:c>
      <x:c r="J19" s="5" t="n">
        <x:v>1788.561379310346</x:v>
      </x:c>
      <x:c r="K19" s="5" t="n">
        <x:v>1788.561379310346</x:v>
      </x:c>
      <x:c r="L19" s="5" t="n">
        <x:v>3366.082298850574</x:v>
      </x:c>
      <x:c r="M19" s="5" t="n">
        <x:v>0.6749221897464489</x:v>
      </x:c>
    </x:row>
    <x:row r="20">
      <x:c r="A20" s="3" t="n">
        <x:v>10000802</x:v>
      </x:c>
      <x:c r="B20" s="3" t="n">
        <x:v>202308</x:v>
      </x:c>
      <x:c r="C20" s="3" t="n">
        <x:v>29</x:v>
      </x:c>
      <x:c r="D20" s="3" t="n">
        <x:v>0</x:v>
      </x:c>
      <x:c r="E20" s="3" t="n">
        <x:v>28</x:v>
      </x:c>
      <x:c r="F20" s="5" t="n">
        <x:v>1225.388275862069</x:v>
      </x:c>
      <x:c r="G20" s="5" t="n">
        <x:v>29.71430213464696</x:v>
      </x:c>
      <x:c r="H20" s="5" t="n">
        <x:v>0.02424888724656905</x:v>
      </x:c>
      <x:c r="I20" s="5" t="n">
        <x:v>2.424888724656905</x:v>
      </x:c>
      <x:c r="J20" s="5" t="n">
        <x:v>1225.388275862069</x:v>
      </x:c>
      <x:c r="K20" s="5" t="n">
        <x:v>1225.388275862069</x:v>
      </x:c>
      <x:c r="L20" s="5" t="n">
        <x:v>2057.388735632184</x:v>
      </x:c>
      <x:c r="M20" s="5" t="n">
        <x:v>0.5953964963451789</x:v>
      </x:c>
    </x:row>
    <x:row r="21">
      <x:c r="A21" s="3" t="n">
        <x:v>10000822</x:v>
      </x:c>
      <x:c r="B21" s="3" t="n">
        <x:v>202309</x:v>
      </x:c>
      <x:c r="C21" s="3" t="n">
        <x:v>28</x:v>
      </x:c>
      <x:c r="D21" s="3" t="n">
        <x:v>0</x:v>
      </x:c>
      <x:c r="E21" s="3" t="n">
        <x:v>27</x:v>
      </x:c>
      <x:c r="F21" s="5" t="n">
        <x:v>856.3885878489326</x:v>
      </x:c>
      <x:c r="G21" s="5" t="n">
        <x:v>58.15313811348295</x:v>
      </x:c>
      <x:c r="H21" s="5" t="n">
        <x:v>0.06790508297121446</x:v>
      </x:c>
      <x:c r="I21" s="5" t="n">
        <x:v>6.790508297121447</x:v>
      </x:c>
      <x:c r="J21" s="5" t="n">
        <x:v>856.3885878489326</x:v>
      </x:c>
      <x:c r="K21" s="5" t="n">
        <x:v>856.3885878489326</x:v>
      </x:c>
      <x:c r="L21" s="5" t="n">
        <x:v>2426.523316912972</x:v>
      </x:c>
      <x:c r="M21" s="5" t="n">
        <x:v>0.8529391307063577</x:v>
      </x:c>
    </x:row>
    <x:row r="22">
      <x:c r="A22" s="3" t="n">
        <x:v>10000839</x:v>
      </x:c>
      <x:c r="B22" s="3" t="n">
        <x:v>202309</x:v>
      </x:c>
      <x:c r="C22" s="3" t="n">
        <x:v>28</x:v>
      </x:c>
      <x:c r="D22" s="3" t="n">
        <x:v>0</x:v>
      </x:c>
      <x:c r="E22" s="3" t="n">
        <x:v>27</x:v>
      </x:c>
      <x:c r="F22" s="5" t="n">
        <x:v>1417.841954022989</x:v>
      </x:c>
      <x:c r="G22" s="5" t="n">
        <x:v>35.66602809706259</x:v>
      </x:c>
      <x:c r="H22" s="5" t="n">
        <x:v>0.02515515075277869</x:v>
      </x:c>
      <x:c r="I22" s="5" t="n">
        <x:v>2.515515075277869</x:v>
      </x:c>
      <x:c r="J22" s="5" t="n">
        <x:v>1417.841954022989</x:v>
      </x:c>
      <x:c r="K22" s="5" t="n">
        <x:v>1417.841954022989</x:v>
      </x:c>
      <x:c r="L22" s="5" t="n">
        <x:v>2380.824712643679</x:v>
      </x:c>
      <x:c r="M22" s="5" t="n">
        <x:v>0.58693150696847</x:v>
      </x:c>
    </x:row>
    <x:row r="23">
      <x:c r="A23" s="3" t="n">
        <x:v>10000843</x:v>
      </x:c>
      <x:c r="B23" s="3" t="n">
        <x:v>202309</x:v>
      </x:c>
      <x:c r="C23" s="3" t="n">
        <x:v>28</x:v>
      </x:c>
      <x:c r="D23" s="3" t="n">
        <x:v>0</x:v>
      </x:c>
      <x:c r="E23" s="3" t="n">
        <x:v>27</x:v>
      </x:c>
      <x:c r="F23" s="5" t="n">
        <x:v>967.711412151067</x:v>
      </x:c>
      <x:c r="G23" s="5" t="n">
        <x:v>35.94368728334246</x:v>
      </x:c>
      <x:c r="H23" s="5" t="n">
        <x:v>0.03714298171129905</x:v>
      </x:c>
      <x:c r="I23" s="5" t="n">
        <x:v>3.714298171129905</x:v>
      </x:c>
      <x:c r="J23" s="5" t="n">
        <x:v>967.711412151067</x:v>
      </x:c>
      <x:c r="K23" s="5" t="n">
        <x:v>967.711412151067</x:v>
      </x:c>
      <x:c r="L23" s="5" t="n">
        <x:v>1938.190968801313</x:v>
      </x:c>
      <x:c r="M23" s="5" t="n">
        <x:v>0.6821324079728762</x:v>
      </x:c>
    </x:row>
    <x:row r="24">
      <x:c r="A24" s="3" t="n">
        <x:v>10000849</x:v>
      </x:c>
      <x:c r="B24" s="3" t="n">
        <x:v>202309</x:v>
      </x:c>
      <x:c r="C24" s="3" t="n">
        <x:v>28</x:v>
      </x:c>
      <x:c r="D24" s="3" t="n">
        <x:v>0</x:v>
      </x:c>
      <x:c r="E24" s="3" t="n">
        <x:v>27</x:v>
      </x:c>
      <x:c r="F24" s="5" t="n">
        <x:v>1687.910426929392</x:v>
      </x:c>
      <x:c r="G24" s="5" t="n">
        <x:v>39.85831052727607</x:v>
      </x:c>
      <x:c r="H24" s="5" t="n">
        <x:v>0.02361399627099016</x:v>
      </x:c>
      <x:c r="I24" s="5" t="n">
        <x:v>2.361399627099016</x:v>
      </x:c>
      <x:c r="J24" s="5" t="n">
        <x:v>1687.910426929392</x:v>
      </x:c>
      <x:c r="K24" s="5" t="n">
        <x:v>1687.910426929392</x:v>
      </x:c>
      <x:c r="L24" s="5" t="n">
        <x:v>2764.084811165845</x:v>
      </x:c>
      <x:c r="M24" s="5" t="n">
        <x:v>0.5247749651028938</x:v>
      </x:c>
    </x:row>
    <x:row r="25">
      <x:c r="A25" s="3" t="n">
        <x:v>10000861</x:v>
      </x:c>
      <x:c r="B25" s="3" t="n">
        <x:v>202310</x:v>
      </x:c>
      <x:c r="C25" s="3" t="n">
        <x:v>27</x:v>
      </x:c>
      <x:c r="D25" s="3" t="n">
        <x:v>0</x:v>
      </x:c>
      <x:c r="E25" s="3" t="n">
        <x:v>26</x:v>
      </x:c>
      <x:c r="F25" s="5" t="n">
        <x:v>1489.126102292769</x:v>
      </x:c>
      <x:c r="G25" s="5" t="n">
        <x:v>69.7525030525031</x:v>
      </x:c>
      <x:c r="H25" s="5" t="n">
        <x:v>0.04684123322068357</x:v>
      </x:c>
      <x:c r="I25" s="5" t="n">
        <x:v>4.684123322068357</x:v>
      </x:c>
      <x:c r="J25" s="5" t="n">
        <x:v>1489.126102292769</x:v>
      </x:c>
      <x:c r="K25" s="5" t="n">
        <x:v>1489.126102292769</x:v>
      </x:c>
      <x:c r="L25" s="5" t="n">
        <x:v>3302.69118165785</x:v>
      </x:c>
      <x:c r="M25" s="5" t="n">
        <x:v>0.7533238679458983</x:v>
      </x:c>
    </x:row>
    <x:row r="26">
      <x:c r="A26" s="3" t="n">
        <x:v>10000867</x:v>
      </x:c>
      <x:c r="B26" s="3" t="n">
        <x:v>202310</x:v>
      </x:c>
      <x:c r="C26" s="3" t="n">
        <x:v>27</x:v>
      </x:c>
      <x:c r="D26" s="3" t="n">
        <x:v>0</x:v>
      </x:c>
      <x:c r="E26" s="3" t="n">
        <x:v>26</x:v>
      </x:c>
      <x:c r="F26" s="5" t="n">
        <x:v>967.0335097001761</x:v>
      </x:c>
      <x:c r="G26" s="5" t="n">
        <x:v>36.89580789580791</x:v>
      </x:c>
      <x:c r="H26" s="5" t="n">
        <x:v>0.03815359811807066</x:v>
      </x:c>
      <x:c r="I26" s="5" t="n">
        <x:v>3.815359811807066</x:v>
      </x:c>
      <x:c r="J26" s="5" t="n">
        <x:v>967.0335097001761</x:v>
      </x:c>
      <x:c r="K26" s="5" t="n">
        <x:v>967.0335097001761</x:v>
      </x:c>
      <x:c r="L26" s="5" t="n">
        <x:v>1926.324514991182</x:v>
      </x:c>
      <x:c r="M26" s="5" t="n">
        <x:v>0.6097540122052698</x:v>
      </x:c>
    </x:row>
    <x:row r="27">
      <x:c r="A27" s="3" t="n">
        <x:v>10000868</x:v>
      </x:c>
      <x:c r="B27" s="3" t="n">
        <x:v>202311</x:v>
      </x:c>
      <x:c r="C27" s="3" t="n">
        <x:v>26</x:v>
      </x:c>
      <x:c r="D27" s="3" t="n">
        <x:v>0</x:v>
      </x:c>
      <x:c r="E27" s="3" t="n">
        <x:v>25</x:v>
      </x:c>
      <x:c r="F27" s="5" t="n">
        <x:v>1042.621652421653</x:v>
      </x:c>
      <x:c r="G27" s="5" t="n">
        <x:v>29.38042165242166</x:v>
      </x:c>
      <x:c r="H27" s="5" t="n">
        <x:v>0.02817937032496977</x:v>
      </x:c>
      <x:c r="I27" s="5" t="n">
        <x:v>2.817937032496977</x:v>
      </x:c>
      <x:c r="J27" s="5" t="n">
        <x:v>1042.621652421653</x:v>
      </x:c>
      <x:c r="K27" s="5" t="n">
        <x:v>1042.621652421653</x:v>
      </x:c>
      <x:c r="L27" s="5" t="n">
        <x:v>1777.132193732194</x:v>
      </x:c>
      <x:c r="M27" s="5" t="n">
        <x:v>0.5609686788897381</x:v>
      </x:c>
    </x:row>
    <x:row r="28">
      <x:c r="A28" s="3" t="n">
        <x:v>10000869</x:v>
      </x:c>
      <x:c r="B28" s="3" t="n">
        <x:v>202402</x:v>
      </x:c>
      <x:c r="C28" s="3" t="n">
        <x:v>23</x:v>
      </x:c>
      <x:c r="D28" s="3" t="n">
        <x:v>0</x:v>
      </x:c>
      <x:c r="E28" s="3" t="n">
        <x:v>22</x:v>
      </x:c>
      <x:c r="F28" s="5" t="n">
        <x:v>1049.833333333334</x:v>
      </x:c>
      <x:c r="G28" s="5" t="n">
        <x:v>51.37944664031617</x:v>
      </x:c>
      <x:c r="H28" s="5" t="n">
        <x:v>0.04894057466929622</x:v>
      </x:c>
      <x:c r="I28" s="5" t="n">
        <x:v>4.894057466929621</x:v>
      </x:c>
      <x:c r="J28" s="5" t="n">
        <x:v>1049.833333333334</x:v>
      </x:c>
      <x:c r="K28" s="5" t="n">
        <x:v>1049.833333333334</x:v>
      </x:c>
      <x:c r="L28" s="5" t="n">
        <x:v>2180.18115942029</x:v>
      </x:c>
      <x:c r="M28" s="5" t="n">
        <x:v>0.726469602946734</x:v>
      </x:c>
    </x:row>
    <x:row r="29">
      <x:c r="A29" s="3" t="n">
        <x:v>10000886</x:v>
      </x:c>
      <x:c r="B29" s="3" t="n">
        <x:v>202311</x:v>
      </x:c>
      <x:c r="C29" s="3" t="n">
        <x:v>26</x:v>
      </x:c>
      <x:c r="D29" s="3" t="n">
        <x:v>0</x:v>
      </x:c>
      <x:c r="E29" s="3" t="n">
        <x:v>25</x:v>
      </x:c>
      <x:c r="F29" s="5" t="n">
        <x:v>1402.32849002849</x:v>
      </x:c>
      <x:c r="G29" s="5" t="n">
        <x:v>38.6439772079772</x:v>
      </x:c>
      <x:c r="H29" s="5" t="n">
        <x:v>0.0275570078499882</x:v>
      </x:c>
      <x:c r="I29" s="5" t="n">
        <x:v>2.75570078499882</x:v>
      </x:c>
      <x:c r="J29" s="5" t="n">
        <x:v>1402.32849002849</x:v>
      </x:c>
      <x:c r="K29" s="5" t="n">
        <x:v>1402.32849002849</x:v>
      </x:c>
      <x:c r="L29" s="5" t="n">
        <x:v>2368.42792022792</x:v>
      </x:c>
      <x:c r="M29" s="5" t="n">
        <x:v>0.5206373800421525</x:v>
      </x:c>
    </x:row>
    <x:row r="30">
      <x:c r="A30" s="3" t="n">
        <x:v>10000888</x:v>
      </x:c>
      <x:c r="B30" s="3" t="n">
        <x:v>202311</x:v>
      </x:c>
      <x:c r="C30" s="3" t="n">
        <x:v>26</x:v>
      </x:c>
      <x:c r="D30" s="3" t="n">
        <x:v>0</x:v>
      </x:c>
      <x:c r="E30" s="3" t="n">
        <x:v>25</x:v>
      </x:c>
      <x:c r="F30" s="5" t="n">
        <x:v>1031.58660968661</x:v>
      </x:c>
      <x:c r="G30" s="5" t="n">
        <x:v>34.34578917378918</x:v>
      </x:c>
      <x:c r="H30" s="5" t="n">
        <x:v>0.03329414016359057</x:v>
      </x:c>
      <x:c r="I30" s="5" t="n">
        <x:v>3.329414016359057</x:v>
      </x:c>
      <x:c r="J30" s="5" t="n">
        <x:v>1031.58660968661</x:v>
      </x:c>
      <x:c r="K30" s="5" t="n">
        <x:v>1031.58660968661</x:v>
      </x:c>
      <x:c r="L30" s="5" t="n">
        <x:v>1890.231339031339</x:v>
      </x:c>
      <x:c r="M30" s="5" t="n">
        <x:v>0.4532996144781526</x:v>
      </x:c>
    </x:row>
    <x:row r="31">
      <x:c r="A31" s="3" t="n">
        <x:v>10000920</x:v>
      </x:c>
      <x:c r="B31" s="3" t="n">
        <x:v>202312</x:v>
      </x:c>
      <x:c r="C31" s="3" t="n">
        <x:v>25</x:v>
      </x:c>
      <x:c r="D31" s="3" t="n">
        <x:v>0</x:v>
      </x:c>
      <x:c r="E31" s="3" t="n">
        <x:v>24</x:v>
      </x:c>
      <x:c r="F31" s="5" t="n">
        <x:v>1430.628102564102</x:v>
      </x:c>
      <x:c r="G31" s="5" t="n">
        <x:v>32.20543589743586</x:v>
      </x:c>
      <x:c r="H31" s="5" t="n">
        <x:v>0.02251139610616787</x:v>
      </x:c>
      <x:c r="I31" s="5" t="n">
        <x:v>2.251139610616787</x:v>
      </x:c>
      <x:c r="J31" s="5" t="n">
        <x:v>1430.628102564102</x:v>
      </x:c>
      <x:c r="K31" s="5" t="n">
        <x:v>1430.628102564102</x:v>
      </x:c>
      <x:c r="L31" s="5" t="n">
        <x:v>2203.558564102563</x:v>
      </x:c>
      <x:c r="M31" s="5" t="n">
        <x:v>0.3827358632826621</x:v>
      </x:c>
    </x:row>
    <x:row r="32">
      <x:c r="A32" s="3" t="n">
        <x:v>10000921</x:v>
      </x:c>
      <x:c r="B32" s="3" t="n">
        <x:v>202312</x:v>
      </x:c>
      <x:c r="C32" s="3" t="n">
        <x:v>25</x:v>
      </x:c>
      <x:c r="D32" s="3" t="n">
        <x:v>0</x:v>
      </x:c>
      <x:c r="E32" s="3" t="n">
        <x:v>24</x:v>
      </x:c>
      <x:c r="F32" s="5" t="n">
        <x:v>1125.980102564102</x:v>
      </x:c>
      <x:c r="G32" s="5" t="n">
        <x:v>38.00543589743588</x:v>
      </x:c>
      <x:c r="H32" s="5" t="n">
        <x:v>0.03375320381851261</x:v>
      </x:c>
      <x:c r="I32" s="5" t="n">
        <x:v>3.375320381851261</x:v>
      </x:c>
      <x:c r="J32" s="5" t="n">
        <x:v>1125.980102564102</x:v>
      </x:c>
      <x:c r="K32" s="5" t="n">
        <x:v>1125.980102564102</x:v>
      </x:c>
      <x:c r="L32" s="5" t="n">
        <x:v>2038.110564102564</x:v>
      </x:c>
      <x:c r="M32" s="5" t="n">
        <x:v>0.6093572820686726</x:v>
      </x:c>
    </x:row>
    <x:row r="33">
      <x:c r="A33" s="3" t="n">
        <x:v>10000928</x:v>
      </x:c>
      <x:c r="B33" s="3" t="n">
        <x:v>202312</x:v>
      </x:c>
      <x:c r="C33" s="3" t="n">
        <x:v>25</x:v>
      </x:c>
      <x:c r="D33" s="3" t="n">
        <x:v>0</x:v>
      </x:c>
      <x:c r="E33" s="3" t="n">
        <x:v>24</x:v>
      </x:c>
      <x:c r="F33" s="5" t="n">
        <x:v>1121.702974358974</x:v>
      </x:c>
      <x:c r="G33" s="5" t="n">
        <x:v>44.34330769230768</x:v>
      </x:c>
      <x:c r="H33" s="5" t="n">
        <x:v>0.03953212990065288</x:v>
      </x:c>
      <x:c r="I33" s="5" t="n">
        <x:v>3.953212990065289</x:v>
      </x:c>
      <x:c r="J33" s="5" t="n">
        <x:v>1121.702974358974</x:v>
      </x:c>
      <x:c r="K33" s="5" t="n">
        <x:v>1121.702974358974</x:v>
      </x:c>
      <x:c r="L33" s="5" t="n">
        <x:v>2185.942358974358</x:v>
      </x:c>
      <x:c r="M33" s="5" t="n">
        <x:v>0.6274179243123568</x:v>
      </x:c>
    </x:row>
    <x:row r="34">
      <x:c r="A34" s="3" t="n">
        <x:v>10000929</x:v>
      </x:c>
      <x:c r="B34" s="3" t="n">
        <x:v>202312</x:v>
      </x:c>
      <x:c r="C34" s="3" t="n">
        <x:v>25</x:v>
      </x:c>
      <x:c r="D34" s="3" t="n">
        <x:v>0</x:v>
      </x:c>
      <x:c r="E34" s="3" t="n">
        <x:v>24</x:v>
      </x:c>
      <x:c r="F34" s="5" t="n">
        <x:v>1155.937435897436</x:v>
      </x:c>
      <x:c r="G34" s="5" t="n">
        <x:v>81.75743589743587</x:v>
      </x:c>
      <x:c r="H34" s="5" t="n">
        <x:v>0.07072825341447808</x:v>
      </x:c>
      <x:c r="I34" s="5" t="n">
        <x:v>7.072825341447809</x:v>
      </x:c>
      <x:c r="J34" s="5" t="n">
        <x:v>1155.937435897436</x:v>
      </x:c>
      <x:c r="K34" s="5" t="n">
        <x:v>1155.937435897436</x:v>
      </x:c>
      <x:c r="L34" s="5" t="n">
        <x:v>3118.115897435897</x:v>
      </x:c>
      <x:c r="M34" s="5" t="n">
        <x:v>0.7517661100747832</x:v>
      </x:c>
    </x:row>
    <x:row r="35">
      <x:c r="A35" s="3" t="n">
        <x:v>10000930</x:v>
      </x:c>
      <x:c r="B35" s="3" t="n">
        <x:v>202312</x:v>
      </x:c>
      <x:c r="C35" s="3" t="n">
        <x:v>25</x:v>
      </x:c>
      <x:c r="D35" s="3" t="n">
        <x:v>0</x:v>
      </x:c>
      <x:c r="E35" s="3" t="n">
        <x:v>24</x:v>
      </x:c>
      <x:c r="F35" s="5" t="n">
        <x:v>1271.19641025641</x:v>
      </x:c>
      <x:c r="G35" s="5" t="n">
        <x:v>34.79874358974359</x:v>
      </x:c>
      <x:c r="H35" s="5" t="n">
        <x:v>0.02737479693065244</x:v>
      </x:c>
      <x:c r="I35" s="5" t="n">
        <x:v>2.737479693065244</x:v>
      </x:c>
      <x:c r="J35" s="5" t="n">
        <x:v>1271.19641025641</x:v>
      </x:c>
      <x:c r="K35" s="5" t="n">
        <x:v>1271.19641025641</x:v>
      </x:c>
      <x:c r="L35" s="5" t="n">
        <x:v>2106.366256410256</x:v>
      </x:c>
      <x:c r="M35" s="5" t="n">
        <x:v>0.535109384470705</x:v>
      </x:c>
    </x:row>
    <x:row r="36">
      <x:c r="A36" s="3" t="n">
        <x:v>10000936</x:v>
      </x:c>
      <x:c r="B36" s="3" t="n">
        <x:v>202401</x:v>
      </x:c>
      <x:c r="C36" s="3" t="n">
        <x:v>24</x:v>
      </x:c>
      <x:c r="D36" s="3" t="n">
        <x:v>0</x:v>
      </x:c>
      <x:c r="E36" s="3" t="n">
        <x:v>23</x:v>
      </x:c>
      <x:c r="F36" s="5" t="n">
        <x:v>1273.048666666667</x:v>
      </x:c>
      <x:c r="G36" s="5" t="n">
        <x:v>26.10047826086953</x:v>
      </x:c>
      <x:c r="H36" s="5" t="n">
        <x:v>0.02050234130421004</x:v>
      </x:c>
      <x:c r="I36" s="5" t="n">
        <x:v>2.050234130421003</x:v>
      </x:c>
      <x:c r="J36" s="5" t="n">
        <x:v>1273.048666666667</x:v>
      </x:c>
      <x:c r="K36" s="5" t="n">
        <x:v>1273.048666666667</x:v>
      </x:c>
      <x:c r="L36" s="5" t="n">
        <x:v>1873.359666666667</x:v>
      </x:c>
      <x:c r="M36" s="5" t="n">
        <x:v>0.3269459038634784</x:v>
      </x:c>
    </x:row>
    <x:row r="37">
      <x:c r="A37" s="3" t="n">
        <x:v>10000957</x:v>
      </x:c>
      <x:c r="B37" s="3" t="n">
        <x:v>202403</x:v>
      </x:c>
      <x:c r="C37" s="3" t="n">
        <x:v>22</x:v>
      </x:c>
      <x:c r="D37" s="3" t="n">
        <x:v>0</x:v>
      </x:c>
      <x:c r="E37" s="3" t="n">
        <x:v>21</x:v>
      </x:c>
      <x:c r="F37" s="5" t="n">
        <x:v>1499.35533596838</x:v>
      </x:c>
      <x:c r="G37" s="5" t="n">
        <x:v>36.68390739695088</x:v>
      </x:c>
      <x:c r="H37" s="5" t="n">
        <x:v>0.02446645335960875</x:v>
      </x:c>
      <x:c r="I37" s="5" t="n">
        <x:v>2.446645335960875</x:v>
      </x:c>
      <x:c r="J37" s="5" t="n">
        <x:v>1499.35533596838</x:v>
      </x:c>
      <x:c r="K37" s="5" t="n">
        <x:v>1499.35533596838</x:v>
      </x:c>
      <x:c r="L37" s="5" t="n">
        <x:v>2269.717391304348</x:v>
      </x:c>
      <x:c r="M37" s="5" t="n">
        <x:v>0.4637908777592825</x:v>
      </x:c>
    </x:row>
    <x:row r="38">
      <x:c r="A38" s="3" t="n">
        <x:v>10000972</x:v>
      </x:c>
      <x:c r="B38" s="3" t="n">
        <x:v>202405</x:v>
      </x:c>
      <x:c r="C38" s="3" t="n">
        <x:v>20</x:v>
      </x:c>
      <x:c r="D38" s="3" t="n">
        <x:v>0</x:v>
      </x:c>
      <x:c r="E38" s="3" t="n">
        <x:v>19</x:v>
      </x:c>
      <x:c r="F38" s="5" t="n">
        <x:v>1219.853333333334</x:v>
      </x:c>
      <x:c r="G38" s="5" t="n">
        <x:v>39.92719298245613</x:v>
      </x:c>
      <x:c r="H38" s="5" t="n">
        <x:v>0.03273114225408747</x:v>
      </x:c>
      <x:c r="I38" s="5" t="n">
        <x:v>3.273114225408747</x:v>
      </x:c>
      <x:c r="J38" s="5" t="n">
        <x:v>1219.853333333334</x:v>
      </x:c>
      <x:c r="K38" s="5" t="n">
        <x:v>1219.853333333334</x:v>
      </x:c>
      <x:c r="L38" s="5" t="n">
        <x:v>1978.47</x:v>
      </x:c>
      <x:c r="M38" s="5" t="n">
        <x:v>0.5665373764203102</x:v>
      </x:c>
    </x:row>
    <x:row r="39">
      <x:c r="A39" s="3" t="n">
        <x:v>10000990</x:v>
      </x:c>
      <x:c r="B39" s="3" t="n">
        <x:v>202406</x:v>
      </x:c>
      <x:c r="C39" s="3" t="n">
        <x:v>19</x:v>
      </x:c>
      <x:c r="D39" s="3" t="n">
        <x:v>0</x:v>
      </x:c>
      <x:c r="E39" s="3" t="n">
        <x:v>18</x:v>
      </x:c>
      <x:c r="F39" s="5" t="n">
        <x:v>1258.342807017544</x:v>
      </x:c>
      <x:c r="G39" s="5" t="n">
        <x:v>39.01649122807014</x:v>
      </x:c>
      <x:c r="H39" s="5" t="n">
        <x:v>0.03100624965667735</x:v>
      </x:c>
      <x:c r="I39" s="5" t="n">
        <x:v>3.100624965667735</x:v>
      </x:c>
      <x:c r="J39" s="5" t="n">
        <x:v>1258.342807017544</x:v>
      </x:c>
      <x:c r="K39" s="5" t="n">
        <x:v>1258.342807017544</x:v>
      </x:c>
      <x:c r="L39" s="5" t="n">
        <x:v>1960.639649122807</x:v>
      </x:c>
      <x:c r="M39" s="5" t="n">
        <x:v>0.3578003864634156</x:v>
      </x:c>
    </x:row>
    <x:row r="40">
      <x:c r="A40" s="3" t="n">
        <x:v>10001038</x:v>
      </x:c>
      <x:c r="B40" s="3" t="n">
        <x:v>202410</x:v>
      </x:c>
      <x:c r="C40" s="3" t="n">
        <x:v>15</x:v>
      </x:c>
      <x:c r="D40" s="3" t="n">
        <x:v>0</x:v>
      </x:c>
      <x:c r="E40" s="3" t="n">
        <x:v>14</x:v>
      </x:c>
      <x:c r="F40" s="5" t="n">
        <x:v>864.6797222222219</x:v>
      </x:c>
      <x:c r="G40" s="5" t="n">
        <x:v>37.60797619047621</x:v>
      </x:c>
      <x:c r="H40" s="5" t="n">
        <x:v>0.04349353318223299</x:v>
      </x:c>
      <x:c r="I40" s="5" t="n">
        <x:v>4.349353318223299</x:v>
      </x:c>
      <x:c r="J40" s="5" t="n">
        <x:v>864.6797222222219</x:v>
      </x:c>
      <x:c r="K40" s="5" t="n">
        <x:v>864.6797222222219</x:v>
      </x:c>
      <x:c r="L40" s="5" t="n">
        <x:v>1391.191388888889</x:v>
      </x:c>
      <x:c r="M40" s="5" t="n">
        <x:v>0.6826547323992564</x:v>
      </x:c>
    </x:row>
    <x:row r="41">
      <x:c r="A41" s="3" t="n">
        <x:v>10001088</x:v>
      </x:c>
      <x:c r="B41" s="3" t="n">
        <x:v>202412</x:v>
      </x:c>
      <x:c r="C41" s="3" t="n">
        <x:v>12</x:v>
      </x:c>
      <x:c r="D41" s="3" t="n">
        <x:v>0</x:v>
      </x:c>
      <x:c r="E41" s="3" t="n">
        <x:v>11</x:v>
      </x:c>
      <x:c r="F41" s="5" t="n">
        <x:v>1571.370085470085</x:v>
      </x:c>
      <x:c r="G41" s="5" t="n">
        <x:v>54.5332167832168</x:v>
      </x:c>
      <x:c r="H41" s="5" t="n">
        <x:v>0.03470424776917071</x:v>
      </x:c>
      <x:c r="I41" s="5" t="n">
        <x:v>3.470424776917072</x:v>
      </x:c>
      <x:c r="J41" s="5" t="n">
        <x:v>1571.370085470085</x:v>
      </x:c>
      <x:c r="K41" s="5" t="n">
        <x:v>1571.370085470085</x:v>
      </x:c>
      <x:c r="L41" s="5" t="n">
        <x:v>2171.23547008547</x:v>
      </x:c>
      <x:c r="M41" s="5" t="n">
        <x:v>0.3516417760973255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1" customWidth="1"/>
    <x:col min="3" max="3" width="19" customWidth="1"/>
    <x:col min="4" max="4" width="18" customWidth="1"/>
    <x:col min="5" max="5" width="18" customWidth="1"/>
    <x:col min="6" max="6" width="16" customWidth="1"/>
    <x:col min="7" max="7" width="16" customWidth="1"/>
    <x:col min="8" max="8" width="13" customWidth="1"/>
    <x:col min="9" max="9" width="12" customWidth="1"/>
    <x:col min="10" max="10" width="22" customWidth="1"/>
    <x:col min="11" max="11" width="21" customWidth="1"/>
    <x:col min="12" max="12" width="20" customWidth="1"/>
    <x:col min="13" max="13" width="20" customWidth="1"/>
    <x:col min="14" max="14" width="20" customWidth="1"/>
    <x:col min="15" max="15" width="21" customWidth="1"/>
    <x:col min="16" max="16" width="12" customWidth="1"/>
    <x:col min="17" max="17" width="13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</x:cols>
  <x:sheetData>
    <x:row r="1">
      <x:c r="A1" s="4" t="inlineStr">
        <x:is>
          <x:t xml:space="preserve">站点ID</x:t>
        </x:is>
      </x:c>
      <x:c r="B1" s="4" t="inlineStr">
        <x:is>
          <x:t xml:space="preserve">开站日期</x:t>
        </x:is>
      </x:c>
      <x:c r="C1" s="4" t="inlineStr">
        <x:is>
          <x:t xml:space="preserve">覆盖户数_合计</x:t>
        </x:is>
      </x:c>
      <x:c r="D1" s="4" t="inlineStr">
        <x:is>
          <x:t xml:space="preserve">覆盖户数_0~1.5km</x:t>
        </x:is>
      </x:c>
      <x:c r="E1" s="4" t="inlineStr">
        <x:is>
          <x:t xml:space="preserve">覆盖户数_1.5~2.1km</x:t>
        </x:is>
      </x:c>
      <x:c r="F1" s="4" t="inlineStr">
        <x:is>
          <x:t xml:space="preserve">覆盖户数_2.1~2.8km</x:t>
        </x:is>
      </x:c>
      <x:c r="G1" s="4" t="inlineStr">
        <x:is>
          <x:t xml:space="preserve">覆盖户数_2.8~3.8km</x:t>
        </x:is>
      </x:c>
      <x:c r="H1" s="4" t="inlineStr">
        <x:is>
          <x:t xml:space="preserve">覆盖户数_3.8km+</x:t>
        </x:is>
      </x:c>
      <x:c r="I1" s="4" t="inlineStr">
        <x:is>
          <x:t xml:space="preserve">美团月活</x:t>
        </x:is>
      </x:c>
      <x:c r="J1" s="4" t="inlineStr">
        <x:is>
          <x:t xml:space="preserve">月活L1占比</x:t>
        </x:is>
      </x:c>
      <x:c r="K1" s="4" t="inlineStr">
        <x:is>
          <x:t xml:space="preserve">月活L2占比</x:t>
        </x:is>
      </x:c>
      <x:c r="L1" s="4" t="inlineStr">
        <x:is>
          <x:t xml:space="preserve">月活L3占比</x:t>
        </x:is>
      </x:c>
      <x:c r="M1" s="4" t="inlineStr">
        <x:is>
          <x:t xml:space="preserve">月活L4占比</x:t>
        </x:is>
      </x:c>
      <x:c r="N1" s="4" t="inlineStr">
        <x:is>
          <x:t xml:space="preserve">月活L5占比</x:t>
        </x:is>
      </x:c>
      <x:c r="O1" s="4" t="inlineStr">
        <x:is>
          <x:t xml:space="preserve">月活精致度缺失占比</x:t>
        </x:is>
      </x:c>
      <x:c r="P1" s="4" t="inlineStr">
        <x:is>
          <x:t xml:space="preserve">商超总数</x:t>
        </x:is>
      </x:c>
      <x:c r="Q1" s="4" t="inlineStr">
        <x:is>
          <x:t xml:space="preserve">中大商超_仓储会员店数</x:t>
        </x:is>
      </x:c>
      <x:c r="R1" s="4" t="inlineStr">
        <x:is>
          <x:t xml:space="preserve">硬折扣超市数</x:t>
        </x:is>
      </x:c>
      <x:c r="S1" s="4" t="inlineStr">
        <x:is>
          <x:t xml:space="preserve">非生鲜食杂小店数</x:t>
        </x:is>
      </x:c>
      <x:c r="T1" s="4" t="inlineStr">
        <x:is>
          <x:t xml:space="preserve">农贸市场数</x:t>
        </x:is>
      </x:c>
      <x:c r="U1" s="4" t="inlineStr">
        <x:is>
          <x:t xml:space="preserve">社区超市数</x:t>
        </x:is>
      </x:c>
      <x:c r="V1" s="4" t="inlineStr">
        <x:is>
          <x:t xml:space="preserve">生鲜小店数</x:t>
        </x:is>
      </x:c>
      <x:c r="W1" s="4" t="inlineStr">
        <x:is>
          <x:t xml:space="preserve">SAM站数</x:t>
        </x:is>
      </x:c>
      <x:c r="X1" s="4" t="inlineStr">
        <x:is>
          <x:t xml:space="preserve">叮咚买菜站数</x:t>
        </x:is>
      </x:c>
      <x:c r="Y1" s="4" t="inlineStr">
        <x:is>
          <x:t xml:space="preserve">盒马鲜生站数</x:t>
        </x:is>
      </x:c>
    </x:row>
    <x:row r="2">
      <x:c r="A2" s="3" t="n">
        <x:v>10000688</x:v>
      </x:c>
      <x:c r="B2" s="6" t="n">
        <x:v>45038</x:v>
      </x:c>
      <x:c r="C2" s="5" t="n">
        <x:v>31818.2</x:v>
      </x:c>
      <x:c r="D2" s="5" t="n">
        <x:v>28682.6</x:v>
      </x:c>
      <x:c r="E2" s="5" t="n">
        <x:v>3135.6</x:v>
      </x:c>
      <x:c r="F2" s="3" t="n"/>
      <x:c r="G2" s="3" t="n"/>
      <x:c r="H2" s="3" t="n"/>
      <x:c r="I2" s="3" t="n">
        <x:v>139062</x:v>
      </x:c>
      <x:c r="J2" s="5" t="n">
        <x:v>0.005522716486171635</x:v>
      </x:c>
      <x:c r="K2" s="5" t="n">
        <x:v>0.05449367907839669</x:v>
      </x:c>
      <x:c r="L2" s="5" t="n">
        <x:v>0.1894478721721247</x:v>
      </x:c>
      <x:c r="M2" s="5" t="n">
        <x:v>0.4608448030374941</x:v>
      </x:c>
      <x:c r="N2" s="5" t="n">
        <x:v>0.1960132890365449</x:v>
      </x:c>
      <x:c r="O2" s="5" t="n">
        <x:v>0.09367764018926809</x:v>
      </x:c>
      <x:c r="P2" s="3" t="n">
        <x:v>42</x:v>
      </x:c>
      <x:c r="Q2" s="3" t="n">
        <x:v>6</x:v>
      </x:c>
      <x:c r="R2" s="3" t="n">
        <x:v>0</x:v>
      </x:c>
      <x:c r="S2" s="3" t="n">
        <x:v>21</x:v>
      </x:c>
      <x:c r="T2" s="3" t="n">
        <x:v>8</x:v>
      </x:c>
      <x:c r="U2" s="3" t="n">
        <x:v>6</x:v>
      </x:c>
      <x:c r="V2" s="3" t="n">
        <x:v>1</x:v>
      </x:c>
      <x:c r="W2" s="3" t="n">
        <x:v>0</x:v>
      </x:c>
      <x:c r="X2" s="3" t="n">
        <x:v>1</x:v>
      </x:c>
      <x:c r="Y2" s="3" t="n">
        <x:v>0</x:v>
      </x:c>
    </x:row>
    <x:row r="3">
      <x:c r="A3" s="3" t="n">
        <x:v>10000691</x:v>
      </x:c>
      <x:c r="B3" s="6" t="n">
        <x:v>45044</x:v>
      </x:c>
      <x:c r="C3" s="5" t="n">
        <x:v>49139.5</x:v>
      </x:c>
      <x:c r="D3" s="5" t="n">
        <x:v>40674.3</x:v>
      </x:c>
      <x:c r="E3" s="5" t="n">
        <x:v>8465.200000000001</x:v>
      </x:c>
      <x:c r="F3" s="3" t="n"/>
      <x:c r="G3" s="3" t="n"/>
      <x:c r="H3" s="3" t="n"/>
      <x:c r="I3" s="3" t="n">
        <x:v>115490</x:v>
      </x:c>
      <x:c r="J3" s="5" t="n">
        <x:v>0.002363841025196987</x:v>
      </x:c>
      <x:c r="K3" s="5" t="n">
        <x:v>0.02853926746904494</x:v>
      </x:c>
      <x:c r="L3" s="5" t="n">
        <x:v>0.1365399601697117</x:v>
      </x:c>
      <x:c r="M3" s="5" t="n">
        <x:v>0.4753485150229457</x:v>
      </x:c>
      <x:c r="N3" s="5" t="n">
        <x:v>0.2727941813143995</x:v>
      </x:c>
      <x:c r="O3" s="5" t="n">
        <x:v>0.08441423499870118</x:v>
      </x:c>
      <x:c r="P3" s="3" t="n">
        <x:v>38</x:v>
      </x:c>
      <x:c r="Q3" s="3" t="n">
        <x:v>4</x:v>
      </x:c>
      <x:c r="R3" s="3" t="n">
        <x:v>1</x:v>
      </x:c>
      <x:c r="S3" s="3" t="n">
        <x:v>18</x:v>
      </x:c>
      <x:c r="T3" s="3" t="n">
        <x:v>4</x:v>
      </x:c>
      <x:c r="U3" s="3" t="n">
        <x:v>8</x:v>
      </x:c>
      <x:c r="V3" s="3" t="n">
        <x:v>3</x:v>
      </x:c>
      <x:c r="W3" s="3" t="n">
        <x:v>0</x:v>
      </x:c>
      <x:c r="X3" s="3" t="n">
        <x:v>1</x:v>
      </x:c>
      <x:c r="Y3" s="3" t="n">
        <x:v>0</x:v>
      </x:c>
    </x:row>
    <x:row r="4">
      <x:c r="A4" s="3" t="n">
        <x:v>10000692</x:v>
      </x:c>
      <x:c r="B4" s="6" t="n">
        <x:v>45059</x:v>
      </x:c>
      <x:c r="C4" s="5" t="n">
        <x:v>56854.6</x:v>
      </x:c>
      <x:c r="D4" s="5" t="n">
        <x:v>44388.2</x:v>
      </x:c>
      <x:c r="E4" s="5" t="n">
        <x:v>12466.4</x:v>
      </x:c>
      <x:c r="F4" s="3" t="n"/>
      <x:c r="G4" s="3" t="n"/>
      <x:c r="H4" s="3" t="n"/>
      <x:c r="I4" s="3" t="n">
        <x:v>155814</x:v>
      </x:c>
      <x:c r="J4" s="5" t="n">
        <x:v>0.003510595966986278</x:v>
      </x:c>
      <x:c r="K4" s="5" t="n">
        <x:v>0.03577984006571938</x:v>
      </x:c>
      <x:c r="L4" s="5" t="n">
        <x:v>0.1506154774282157</x:v>
      </x:c>
      <x:c r="M4" s="5" t="n">
        <x:v>0.4537589690271734</x:v>
      </x:c>
      <x:c r="N4" s="5" t="n">
        <x:v>0.2286572451769417</x:v>
      </x:c>
      <x:c r="O4" s="5" t="n">
        <x:v>0.1276778723349635</x:v>
      </x:c>
      <x:c r="P4" s="3" t="n">
        <x:v>43</x:v>
      </x:c>
      <x:c r="Q4" s="3" t="n">
        <x:v>2</x:v>
      </x:c>
      <x:c r="R4" s="3" t="n">
        <x:v>0</x:v>
      </x:c>
      <x:c r="S4" s="3" t="n">
        <x:v>23</x:v>
      </x:c>
      <x:c r="T4" s="3" t="n">
        <x:v>8</x:v>
      </x:c>
      <x:c r="U4" s="3" t="n">
        <x:v>7</x:v>
      </x:c>
      <x:c r="V4" s="3" t="n">
        <x:v>3</x:v>
      </x:c>
      <x:c r="W4" s="3" t="n">
        <x:v>1</x:v>
      </x:c>
      <x:c r="X4" s="3" t="n">
        <x:v>2</x:v>
      </x:c>
      <x:c r="Y4" s="3" t="n">
        <x:v>0</x:v>
      </x:c>
    </x:row>
    <x:row r="5">
      <x:c r="A5" s="3" t="n">
        <x:v>10000693</x:v>
      </x:c>
      <x:c r="B5" s="6" t="n">
        <x:v>45065</x:v>
      </x:c>
      <x:c r="C5" s="5" t="n">
        <x:v>30710.2</x:v>
      </x:c>
      <x:c r="D5" s="5" t="n">
        <x:v>16566.2</x:v>
      </x:c>
      <x:c r="E5" s="3" t="n">
        <x:v>12228</x:v>
      </x:c>
      <x:c r="F5" s="3" t="n">
        <x:v>1916</x:v>
      </x:c>
      <x:c r="G5" s="3" t="n"/>
      <x:c r="H5" s="3" t="n"/>
      <x:c r="I5" s="3" t="n">
        <x:v>106703</x:v>
      </x:c>
      <x:c r="J5" s="5" t="n">
        <x:v>0.005482507520875702</x:v>
      </x:c>
      <x:c r="K5" s="5" t="n">
        <x:v>0.06126350711788797</x:v>
      </x:c>
      <x:c r="L5" s="5" t="n">
        <x:v>0.207876067214605</x:v>
      </x:c>
      <x:c r="M5" s="5" t="n">
        <x:v>0.4638201362660844</x:v>
      </x:c>
      <x:c r="N5" s="5" t="n">
        <x:v>0.1839310984695838</x:v>
      </x:c>
      <x:c r="O5" s="5" t="n">
        <x:v>0.07762668341096314</x:v>
      </x:c>
      <x:c r="P5" s="3" t="n">
        <x:v>22</x:v>
      </x:c>
      <x:c r="Q5" s="3" t="n">
        <x:v>3</x:v>
      </x:c>
      <x:c r="R5" s="3" t="n">
        <x:v>0</x:v>
      </x:c>
      <x:c r="S5" s="3" t="n">
        <x:v>11</x:v>
      </x:c>
      <x:c r="T5" s="3" t="n">
        <x:v>4</x:v>
      </x:c>
      <x:c r="U5" s="3" t="n">
        <x:v>3</x:v>
      </x:c>
      <x:c r="V5" s="3" t="n">
        <x:v>1</x:v>
      </x:c>
      <x:c r="W5" s="3" t="n">
        <x:v>0</x:v>
      </x:c>
      <x:c r="X5" s="3" t="n">
        <x:v>0</x:v>
      </x:c>
      <x:c r="Y5" s="3" t="n">
        <x:v>0</x:v>
      </x:c>
    </x:row>
    <x:row r="6">
      <x:c r="A6" s="3" t="n">
        <x:v>10000694</x:v>
      </x:c>
      <x:c r="B6" s="6" t="n">
        <x:v>45065</x:v>
      </x:c>
      <x:c r="C6" s="3" t="n">
        <x:v>37991</x:v>
      </x:c>
      <x:c r="D6" s="5" t="n">
        <x:v>22733.2</x:v>
      </x:c>
      <x:c r="E6" s="5" t="n">
        <x:v>8142.9</x:v>
      </x:c>
      <x:c r="F6" s="5" t="n">
        <x:v>4051.8</x:v>
      </x:c>
      <x:c r="G6" s="5" t="n">
        <x:v>3063.1</x:v>
      </x:c>
      <x:c r="H6" s="3" t="n"/>
      <x:c r="I6" s="3" t="n">
        <x:v>128931</x:v>
      </x:c>
      <x:c r="J6" s="5" t="n">
        <x:v>0.01058705819391768</x:v>
      </x:c>
      <x:c r="K6" s="5" t="n">
        <x:v>0.07182911790027224</x:v>
      </x:c>
      <x:c r="L6" s="5" t="n">
        <x:v>0.2012782030698591</x:v>
      </x:c>
      <x:c r="M6" s="5" t="n">
        <x:v>0.4494962421760477</x:v>
      </x:c>
      <x:c r="N6" s="5" t="n">
        <x:v>0.188403099332201</x:v>
      </x:c>
      <x:c r="O6" s="5" t="n">
        <x:v>0.07840627932770242</x:v>
      </x:c>
      <x:c r="P6" s="3" t="n">
        <x:v>20</x:v>
      </x:c>
      <x:c r="Q6" s="3" t="n">
        <x:v>5</x:v>
      </x:c>
      <x:c r="R6" s="3" t="n">
        <x:v>0</x:v>
      </x:c>
      <x:c r="S6" s="3" t="n">
        <x:v>8</x:v>
      </x:c>
      <x:c r="T6" s="3" t="n">
        <x:v>2</x:v>
      </x:c>
      <x:c r="U6" s="3" t="n">
        <x:v>2</x:v>
      </x:c>
      <x:c r="V6" s="3" t="n">
        <x:v>3</x:v>
      </x:c>
      <x:c r="W6" s="3" t="n">
        <x:v>1</x:v>
      </x:c>
      <x:c r="X6" s="3" t="n">
        <x:v>2</x:v>
      </x:c>
      <x:c r="Y6" s="3" t="n">
        <x:v>0</x:v>
      </x:c>
    </x:row>
    <x:row r="7">
      <x:c r="A7" s="3" t="n">
        <x:v>10000695</x:v>
      </x:c>
      <x:c r="B7" s="6" t="n">
        <x:v>45057</x:v>
      </x:c>
      <x:c r="C7" s="5" t="n">
        <x:v>54262.9</x:v>
      </x:c>
      <x:c r="D7" s="5" t="n">
        <x:v>26967.5</x:v>
      </x:c>
      <x:c r="E7" s="5" t="n">
        <x:v>10413.9</x:v>
      </x:c>
      <x:c r="F7" s="5" t="n">
        <x:v>10211.5</x:v>
      </x:c>
      <x:c r="G7" s="3" t="n">
        <x:v>6670</x:v>
      </x:c>
      <x:c r="H7" s="3" t="n"/>
      <x:c r="I7" s="3" t="n">
        <x:v>149341</x:v>
      </x:c>
      <x:c r="J7" s="5" t="n">
        <x:v>0.003060110753242579</x:v>
      </x:c>
      <x:c r="K7" s="5" t="n">
        <x:v>0.04038408742408314</x:v>
      </x:c>
      <x:c r="L7" s="5" t="n">
        <x:v>0.1577195813607783</x:v>
      </x:c>
      <x:c r="M7" s="5" t="n">
        <x:v>0.4769956006722869</x:v>
      </x:c>
      <x:c r="N7" s="5" t="n">
        <x:v>0.2517727884505929</x:v>
      </x:c>
      <x:c r="O7" s="5" t="n">
        <x:v>0.07006783133901608</x:v>
      </x:c>
      <x:c r="P7" s="3" t="n">
        <x:v>37</x:v>
      </x:c>
      <x:c r="Q7" s="3" t="n">
        <x:v>2</x:v>
      </x:c>
      <x:c r="R7" s="3" t="n">
        <x:v>0</x:v>
      </x:c>
      <x:c r="S7" s="3" t="n">
        <x:v>22</x:v>
      </x:c>
      <x:c r="T7" s="3" t="n">
        <x:v>2</x:v>
      </x:c>
      <x:c r="U7" s="3" t="n">
        <x:v>7</x:v>
      </x:c>
      <x:c r="V7" s="3" t="n">
        <x:v>4</x:v>
      </x:c>
      <x:c r="W7" s="3" t="n">
        <x:v>1</x:v>
      </x:c>
      <x:c r="X7" s="3" t="n">
        <x:v>2</x:v>
      </x:c>
      <x:c r="Y7" s="3" t="n">
        <x:v>1</x:v>
      </x:c>
    </x:row>
    <x:row r="8">
      <x:c r="A8" s="3" t="n">
        <x:v>10000702</x:v>
      </x:c>
      <x:c r="B8" s="6" t="n">
        <x:v>45057</x:v>
      </x:c>
      <x:c r="C8" s="5" t="n">
        <x:v>40981.4</x:v>
      </x:c>
      <x:c r="D8" s="3" t="n">
        <x:v>23697</x:v>
      </x:c>
      <x:c r="E8" s="5" t="n">
        <x:v>13005.4</x:v>
      </x:c>
      <x:c r="F8" s="3" t="n">
        <x:v>4081</x:v>
      </x:c>
      <x:c r="G8" s="3" t="n">
        <x:v>198</x:v>
      </x:c>
      <x:c r="H8" s="3" t="n"/>
      <x:c r="I8" s="3" t="n">
        <x:v>147834</x:v>
      </x:c>
      <x:c r="J8" s="5" t="n">
        <x:v>0.006987567136112126</x:v>
      </x:c>
      <x:c r="K8" s="5" t="n">
        <x:v>0.06457242582897033</x:v>
      </x:c>
      <x:c r="L8" s="5" t="n">
        <x:v>0.2186574130443606</x:v>
      </x:c>
      <x:c r="M8" s="5" t="n">
        <x:v>0.4677408444606789</x:v>
      </x:c>
      <x:c r="N8" s="5" t="n">
        <x:v>0.1690680087124748</x:v>
      </x:c>
      <x:c r="O8" s="5" t="n">
        <x:v>0.07297374081740331</x:v>
      </x:c>
      <x:c r="P8" s="3" t="n">
        <x:v>33</x:v>
      </x:c>
      <x:c r="Q8" s="3" t="n">
        <x:v>5</x:v>
      </x:c>
      <x:c r="R8" s="3" t="n">
        <x:v>0</x:v>
      </x:c>
      <x:c r="S8" s="3" t="n">
        <x:v>10</x:v>
      </x:c>
      <x:c r="T8" s="3" t="n">
        <x:v>7</x:v>
      </x:c>
      <x:c r="U8" s="3" t="n">
        <x:v>8</x:v>
      </x:c>
      <x:c r="V8" s="3" t="n">
        <x:v>3</x:v>
      </x:c>
      <x:c r="W8" s="3" t="n">
        <x:v>0</x:v>
      </x:c>
      <x:c r="X8" s="3" t="n">
        <x:v>1</x:v>
      </x:c>
      <x:c r="Y8" s="3" t="n">
        <x:v>0</x:v>
      </x:c>
    </x:row>
    <x:row r="9">
      <x:c r="A9" s="3" t="n">
        <x:v>10000736</x:v>
      </x:c>
      <x:c r="B9" s="6" t="n">
        <x:v>45102</x:v>
      </x:c>
      <x:c r="C9" s="5" t="n">
        <x:v>80698.5</x:v>
      </x:c>
      <x:c r="D9" s="5" t="n">
        <x:v>43003.4</x:v>
      </x:c>
      <x:c r="E9" s="5" t="n">
        <x:v>16012.3</x:v>
      </x:c>
      <x:c r="F9" s="3" t="n">
        <x:v>17259</x:v>
      </x:c>
      <x:c r="G9" s="5" t="n">
        <x:v>4423.8</x:v>
      </x:c>
      <x:c r="H9" s="3" t="n"/>
      <x:c r="I9" s="3" t="n">
        <x:v>217469</x:v>
      </x:c>
      <x:c r="J9" s="5" t="n">
        <x:v>0.005587003205054513</x:v>
      </x:c>
      <x:c r="K9" s="5" t="n">
        <x:v>0.04505009909458359</x:v>
      </x:c>
      <x:c r="L9" s="5" t="n">
        <x:v>0.1565648437248527</x:v>
      </x:c>
      <x:c r="M9" s="5" t="n">
        <x:v>0.4525380628963209</x:v>
      </x:c>
      <x:c r="N9" s="5" t="n">
        <x:v>0.2459017147271565</x:v>
      </x:c>
      <x:c r="O9" s="5" t="n">
        <x:v>0.09435827635203178</x:v>
      </x:c>
      <x:c r="P9" s="3" t="n">
        <x:v>58</x:v>
      </x:c>
      <x:c r="Q9" s="3" t="n">
        <x:v>7</x:v>
      </x:c>
      <x:c r="R9" s="3" t="n">
        <x:v>0</x:v>
      </x:c>
      <x:c r="S9" s="3" t="n">
        <x:v>37</x:v>
      </x:c>
      <x:c r="T9" s="3" t="n">
        <x:v>2</x:v>
      </x:c>
      <x:c r="U9" s="3" t="n">
        <x:v>8</x:v>
      </x:c>
      <x:c r="V9" s="3" t="n">
        <x:v>4</x:v>
      </x:c>
      <x:c r="W9" s="3" t="n">
        <x:v>1</x:v>
      </x:c>
      <x:c r="X9" s="3" t="n">
        <x:v>1</x:v>
      </x:c>
      <x:c r="Y9" s="3" t="n">
        <x:v>0</x:v>
      </x:c>
    </x:row>
    <x:row r="10">
      <x:c r="A10" s="3" t="n">
        <x:v>10000737</x:v>
      </x:c>
      <x:c r="B10" s="6" t="n">
        <x:v>45128</x:v>
      </x:c>
      <x:c r="C10" s="5" t="n">
        <x:v>37437.1</x:v>
      </x:c>
      <x:c r="D10" s="5" t="n">
        <x:v>21222.7</x:v>
      </x:c>
      <x:c r="E10" s="3" t="n">
        <x:v>10065</x:v>
      </x:c>
      <x:c r="F10" s="5" t="n">
        <x:v>3345.4</x:v>
      </x:c>
      <x:c r="G10" s="3" t="n">
        <x:v>2804</x:v>
      </x:c>
      <x:c r="H10" s="3" t="n"/>
      <x:c r="I10" s="3" t="n">
        <x:v>167349</x:v>
      </x:c>
      <x:c r="J10" s="5" t="n">
        <x:v>0.01588297509994084</x:v>
      </x:c>
      <x:c r="K10" s="5" t="n">
        <x:v>0.1088025623099033</x:v>
      </x:c>
      <x:c r="L10" s="5" t="n">
        <x:v>0.2574739018458431</x:v>
      </x:c>
      <x:c r="M10" s="5" t="n">
        <x:v>0.4211737148115615</x:v>
      </x:c>
      <x:c r="N10" s="5" t="n">
        <x:v>0.1281453728435784</x:v>
      </x:c>
      <x:c r="O10" s="5" t="n">
        <x:v>0.06852147308917293</x:v>
      </x:c>
      <x:c r="P10" s="3" t="n">
        <x:v>23</x:v>
      </x:c>
      <x:c r="Q10" s="3" t="n">
        <x:v>3</x:v>
      </x:c>
      <x:c r="R10" s="3" t="n">
        <x:v>0</x:v>
      </x:c>
      <x:c r="S10" s="3" t="n">
        <x:v>11</x:v>
      </x:c>
      <x:c r="T10" s="3" t="n">
        <x:v>3</x:v>
      </x:c>
      <x:c r="U10" s="3" t="n">
        <x:v>2</x:v>
      </x:c>
      <x:c r="V10" s="3" t="n">
        <x:v>4</x:v>
      </x:c>
      <x:c r="W10" s="3" t="n">
        <x:v>0</x:v>
      </x:c>
      <x:c r="X10" s="3" t="n">
        <x:v>2</x:v>
      </x:c>
      <x:c r="Y10" s="3" t="n">
        <x:v>0</x:v>
      </x:c>
    </x:row>
    <x:row r="11">
      <x:c r="A11" s="3" t="n">
        <x:v>10000738</x:v>
      </x:c>
      <x:c r="B11" s="6" t="n">
        <x:v>45095</x:v>
      </x:c>
      <x:c r="C11" s="5" t="n">
        <x:v>36324.39999999999</x:v>
      </x:c>
      <x:c r="D11" s="5" t="n">
        <x:v>9846.19999999999</x:v>
      </x:c>
      <x:c r="E11" s="5" t="n">
        <x:v>19127.3</x:v>
      </x:c>
      <x:c r="F11" s="5" t="n">
        <x:v>7350.9</x:v>
      </x:c>
      <x:c r="G11" s="3" t="n"/>
      <x:c r="H11" s="3" t="n"/>
      <x:c r="I11" s="3" t="n">
        <x:v>156641</x:v>
      </x:c>
      <x:c r="J11" s="5" t="n">
        <x:v>0.01236585568273951</x:v>
      </x:c>
      <x:c r="K11" s="5" t="n">
        <x:v>0.09502620642105196</x:v>
      </x:c>
      <x:c r="L11" s="5" t="n">
        <x:v>0.2349448739474339</x:v>
      </x:c>
      <x:c r="M11" s="5" t="n">
        <x:v>0.4073390746994721</x:v>
      </x:c>
      <x:c r="N11" s="5" t="n">
        <x:v>0.1710918597302111</x:v>
      </x:c>
      <x:c r="O11" s="5" t="n">
        <x:v>0.07923212951909142</x:v>
      </x:c>
      <x:c r="P11" s="3" t="n">
        <x:v>32</x:v>
      </x:c>
      <x:c r="Q11" s="3" t="n">
        <x:v>4</x:v>
      </x:c>
      <x:c r="R11" s="3" t="n">
        <x:v>0</x:v>
      </x:c>
      <x:c r="S11" s="3" t="n">
        <x:v>17</x:v>
      </x:c>
      <x:c r="T11" s="3" t="n">
        <x:v>4</x:v>
      </x:c>
      <x:c r="U11" s="3" t="n">
        <x:v>3</x:v>
      </x:c>
      <x:c r="V11" s="3" t="n">
        <x:v>4</x:v>
      </x:c>
      <x:c r="W11" s="3" t="n">
        <x:v>2</x:v>
      </x:c>
      <x:c r="X11" s="3" t="n">
        <x:v>2</x:v>
      </x:c>
      <x:c r="Y11" s="3" t="n">
        <x:v>0</x:v>
      </x:c>
    </x:row>
    <x:row r="12">
      <x:c r="A12" s="3" t="n">
        <x:v>10000739</x:v>
      </x:c>
      <x:c r="B12" s="6" t="n">
        <x:v>45107</x:v>
      </x:c>
      <x:c r="C12" s="5" t="n">
        <x:v>38177.9999999999</x:v>
      </x:c>
      <x:c r="D12" s="5" t="n">
        <x:v>22284.6999999999</x:v>
      </x:c>
      <x:c r="E12" s="5" t="n">
        <x:v>15564.5</x:v>
      </x:c>
      <x:c r="F12" s="5" t="n">
        <x:v>328.8</x:v>
      </x:c>
      <x:c r="G12" s="3" t="n"/>
      <x:c r="H12" s="3" t="n"/>
      <x:c r="I12" s="3" t="n">
        <x:v>164205</x:v>
      </x:c>
      <x:c r="J12" s="5" t="n">
        <x:v>0.007033890563624737</x:v>
      </x:c>
      <x:c r="K12" s="5" t="n">
        <x:v>0.06008343229499711</x:v>
      </x:c>
      <x:c r="L12" s="5" t="n">
        <x:v>0.2048841387290277</x:v>
      </x:c>
      <x:c r="M12" s="5" t="n">
        <x:v>0.4733595201120551</x:v>
      </x:c>
      <x:c r="N12" s="5" t="n">
        <x:v>0.1753417983618038</x:v>
      </x:c>
      <x:c r="O12" s="5" t="n">
        <x:v>0.07929721993849152</x:v>
      </x:c>
      <x:c r="P12" s="3" t="n">
        <x:v>41</x:v>
      </x:c>
      <x:c r="Q12" s="3" t="n">
        <x:v>8</x:v>
      </x:c>
      <x:c r="R12" s="3" t="n">
        <x:v>0</x:v>
      </x:c>
      <x:c r="S12" s="3" t="n">
        <x:v>18</x:v>
      </x:c>
      <x:c r="T12" s="3" t="n">
        <x:v>8</x:v>
      </x:c>
      <x:c r="U12" s="3" t="n">
        <x:v>5</x:v>
      </x:c>
      <x:c r="V12" s="3" t="n">
        <x:v>2</x:v>
      </x:c>
      <x:c r="W12" s="3" t="n">
        <x:v>2</x:v>
      </x:c>
      <x:c r="X12" s="3" t="n">
        <x:v>1</x:v>
      </x:c>
      <x:c r="Y12" s="3" t="n">
        <x:v>0</x:v>
      </x:c>
    </x:row>
    <x:row r="13">
      <x:c r="A13" s="3" t="n">
        <x:v>10000749</x:v>
      </x:c>
      <x:c r="B13" s="6" t="n">
        <x:v>45107</x:v>
      </x:c>
      <x:c r="C13" s="5" t="n">
        <x:v>31304.2</x:v>
      </x:c>
      <x:c r="D13" s="5" t="n">
        <x:v>21376.2</x:v>
      </x:c>
      <x:c r="E13" s="3" t="n">
        <x:v>9928</x:v>
      </x:c>
      <x:c r="F13" s="3" t="n"/>
      <x:c r="G13" s="3" t="n"/>
      <x:c r="H13" s="3" t="n"/>
      <x:c r="I13" s="3" t="n">
        <x:v>86337</x:v>
      </x:c>
      <x:c r="J13" s="5" t="n">
        <x:v>0.003080950229913015</x:v>
      </x:c>
      <x:c r="K13" s="5" t="n">
        <x:v>0.03492129677890128</x:v>
      </x:c>
      <x:c r="L13" s="5" t="n">
        <x:v>0.1463103883618842</x:v>
      </x:c>
      <x:c r="M13" s="5" t="n">
        <x:v>0.4779410913050025</x:v>
      </x:c>
      <x:c r="N13" s="5" t="n">
        <x:v>0.260027566396794</x:v>
      </x:c>
      <x:c r="O13" s="5" t="n">
        <x:v>0.07771870692750502</x:v>
      </x:c>
      <x:c r="P13" s="3" t="n">
        <x:v>19</x:v>
      </x:c>
      <x:c r="Q13" s="3" t="n">
        <x:v>1</x:v>
      </x:c>
      <x:c r="R13" s="3" t="n">
        <x:v>0</x:v>
      </x:c>
      <x:c r="S13" s="3" t="n">
        <x:v>11</x:v>
      </x:c>
      <x:c r="T13" s="3" t="n">
        <x:v>3</x:v>
      </x:c>
      <x:c r="U13" s="3" t="n">
        <x:v>4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</x:row>
    <x:row r="14">
      <x:c r="A14" s="3" t="n">
        <x:v>10000757</x:v>
      </x:c>
      <x:c r="B14" s="6" t="n">
        <x:v>45113</x:v>
      </x:c>
      <x:c r="C14" s="3" t="n">
        <x:v>48627</x:v>
      </x:c>
      <x:c r="D14" s="5" t="n">
        <x:v>25410.5</x:v>
      </x:c>
      <x:c r="E14" s="5" t="n">
        <x:v>11543.5</x:v>
      </x:c>
      <x:c r="F14" s="3" t="n">
        <x:v>9851</x:v>
      </x:c>
      <x:c r="G14" s="3" t="n">
        <x:v>1822</x:v>
      </x:c>
      <x:c r="H14" s="3" t="n"/>
      <x:c r="I14" s="3" t="n">
        <x:v>126363</x:v>
      </x:c>
      <x:c r="J14" s="5" t="n">
        <x:v>0.005080601125329408</x:v>
      </x:c>
      <x:c r="K14" s="5" t="n">
        <x:v>0.05938447172036118</x:v>
      </x:c>
      <x:c r="L14" s="5" t="n">
        <x:v>0.1980168245451596</x:v>
      </x:c>
      <x:c r="M14" s="5" t="n">
        <x:v>0.4402317133971178</x:v>
      </x:c>
      <x:c r="N14" s="5" t="n">
        <x:v>0.2055665028528921</x:v>
      </x:c>
      <x:c r="O14" s="5" t="n">
        <x:v>0.09171988635913994</x:v>
      </x:c>
      <x:c r="P14" s="3" t="n">
        <x:v>28</x:v>
      </x:c>
      <x:c r="Q14" s="3" t="n">
        <x:v>2</x:v>
      </x:c>
      <x:c r="R14" s="3" t="n">
        <x:v>2</x:v>
      </x:c>
      <x:c r="S14" s="3" t="n">
        <x:v>11</x:v>
      </x:c>
      <x:c r="T14" s="3" t="n">
        <x:v>6</x:v>
      </x:c>
      <x:c r="U14" s="3" t="n">
        <x:v>2</x:v>
      </x:c>
      <x:c r="V14" s="3" t="n">
        <x:v>5</x:v>
      </x:c>
      <x:c r="W14" s="3" t="n">
        <x:v>0</x:v>
      </x:c>
      <x:c r="X14" s="3" t="n">
        <x:v>0</x:v>
      </x:c>
      <x:c r="Y14" s="3" t="n">
        <x:v>0</x:v>
      </x:c>
    </x:row>
    <x:row r="15">
      <x:c r="A15" s="3" t="n">
        <x:v>10000758</x:v>
      </x:c>
      <x:c r="B15" s="6" t="n">
        <x:v>45138</x:v>
      </x:c>
      <x:c r="C15" s="5" t="n">
        <x:v>77576.39999999999</x:v>
      </x:c>
      <x:c r="D15" s="5" t="n">
        <x:v>25938.3</x:v>
      </x:c>
      <x:c r="E15" s="5" t="n">
        <x:v>11307.1</x:v>
      </x:c>
      <x:c r="F15" s="3" t="n">
        <x:v>15693</x:v>
      </x:c>
      <x:c r="G15" s="3" t="n">
        <x:v>5389</x:v>
      </x:c>
      <x:c r="H15" s="3" t="n">
        <x:v>19249</x:v>
      </x:c>
      <x:c r="I15" s="3" t="n">
        <x:v>236472</x:v>
      </x:c>
      <x:c r="J15" s="5" t="n">
        <x:v>0.009066612537636591</x:v>
      </x:c>
      <x:c r="K15" s="5" t="n">
        <x:v>0.06494637842958151</x:v>
      </x:c>
      <x:c r="L15" s="5" t="n">
        <x:v>0.2178228289184343</x:v>
      </x:c>
      <x:c r="M15" s="5" t="n">
        <x:v>0.4803486247843297</x:v>
      </x:c>
      <x:c r="N15" s="5" t="n">
        <x:v>0.1585219391725025</x:v>
      </x:c>
      <x:c r="O15" s="5" t="n">
        <x:v>0.06929361615751548</x:v>
      </x:c>
      <x:c r="P15" s="3" t="n">
        <x:v>29</x:v>
      </x:c>
      <x:c r="Q15" s="3" t="n">
        <x:v>4</x:v>
      </x:c>
      <x:c r="R15" s="3" t="n">
        <x:v>0</x:v>
      </x:c>
      <x:c r="S15" s="3" t="n">
        <x:v>9</x:v>
      </x:c>
      <x:c r="T15" s="3" t="n">
        <x:v>9</x:v>
      </x:c>
      <x:c r="U15" s="3" t="n">
        <x:v>6</x:v>
      </x:c>
      <x:c r="V15" s="3" t="n">
        <x:v>1</x:v>
      </x:c>
      <x:c r="W15" s="3" t="n">
        <x:v>0</x:v>
      </x:c>
      <x:c r="X15" s="3" t="n">
        <x:v>1</x:v>
      </x:c>
      <x:c r="Y15" s="3" t="n">
        <x:v>0</x:v>
      </x:c>
    </x:row>
    <x:row r="16">
      <x:c r="A16" s="3" t="n">
        <x:v>10000770</x:v>
      </x:c>
      <x:c r="B16" s="6" t="n">
        <x:v>45120</x:v>
      </x:c>
      <x:c r="C16" s="5" t="n">
        <x:v>39059.4</x:v>
      </x:c>
      <x:c r="D16" s="5" t="n">
        <x:v>22594.2</x:v>
      </x:c>
      <x:c r="E16" s="5" t="n">
        <x:v>12461.2</x:v>
      </x:c>
      <x:c r="F16" s="3" t="n">
        <x:v>4004</x:v>
      </x:c>
      <x:c r="G16" s="3" t="n"/>
      <x:c r="H16" s="3" t="n"/>
      <x:c r="I16" s="3" t="n">
        <x:v>135912</x:v>
      </x:c>
      <x:c r="J16" s="5" t="n">
        <x:v>0.004480840543881335</x:v>
      </x:c>
      <x:c r="K16" s="5" t="n">
        <x:v>0.04426393548766849</x:v>
      </x:c>
      <x:c r="L16" s="5" t="n">
        <x:v>0.1630466772617576</x:v>
      </x:c>
      <x:c r="M16" s="5" t="n">
        <x:v>0.4524250985932073</x:v>
      </x:c>
      <x:c r="N16" s="5" t="n">
        <x:v>0.24988227676732</x:v>
      </x:c>
      <x:c r="O16" s="5" t="n">
        <x:v>0.08590117134616516</x:v>
      </x:c>
      <x:c r="P16" s="3" t="n">
        <x:v>20</x:v>
      </x:c>
      <x:c r="Q16" s="3" t="n">
        <x:v>3</x:v>
      </x:c>
      <x:c r="R16" s="3" t="n">
        <x:v>0</x:v>
      </x:c>
      <x:c r="S16" s="3" t="n">
        <x:v>12</x:v>
      </x:c>
      <x:c r="T16" s="3" t="n">
        <x:v>1</x:v>
      </x:c>
      <x:c r="U16" s="3" t="n">
        <x:v>0</x:v>
      </x:c>
      <x:c r="V16" s="3" t="n">
        <x:v>4</x:v>
      </x:c>
      <x:c r="W16" s="3" t="n">
        <x:v>0</x:v>
      </x:c>
      <x:c r="X16" s="3" t="n">
        <x:v>2</x:v>
      </x:c>
      <x:c r="Y16" s="3" t="n">
        <x:v>0</x:v>
      </x:c>
    </x:row>
    <x:row r="17">
      <x:c r="A17" s="3" t="n">
        <x:v>10000771</x:v>
      </x:c>
      <x:c r="B17" s="6" t="n">
        <x:v>45120</x:v>
      </x:c>
      <x:c r="C17" s="5" t="n">
        <x:v>28997.9</x:v>
      </x:c>
      <x:c r="D17" s="5" t="n">
        <x:v>19782.8</x:v>
      </x:c>
      <x:c r="E17" s="5" t="n">
        <x:v>7706.6</x:v>
      </x:c>
      <x:c r="F17" s="5" t="n">
        <x:v>1508.5</x:v>
      </x:c>
      <x:c r="G17" s="3" t="n"/>
      <x:c r="H17" s="3" t="n"/>
      <x:c r="I17" s="3" t="n">
        <x:v>90017</x:v>
      </x:c>
      <x:c r="J17" s="5" t="n">
        <x:v>0.004243642867458369</x:v>
      </x:c>
      <x:c r="K17" s="5" t="n">
        <x:v>0.04611351189219814</x:v>
      </x:c>
      <x:c r="L17" s="5" t="n">
        <x:v>0.1702456202717265</x:v>
      </x:c>
      <x:c r="M17" s="5" t="n">
        <x:v>0.4787762311563372</x:v>
      </x:c>
      <x:c r="N17" s="5" t="n">
        <x:v>0.2236577535354433</x:v>
      </x:c>
      <x:c r="O17" s="5" t="n">
        <x:v>0.0769632402768366</x:v>
      </x:c>
      <x:c r="P17" s="3" t="n">
        <x:v>16</x:v>
      </x:c>
      <x:c r="Q17" s="3" t="n">
        <x:v>0</x:v>
      </x:c>
      <x:c r="R17" s="3" t="n">
        <x:v>0</x:v>
      </x:c>
      <x:c r="S17" s="3" t="n">
        <x:v>7</x:v>
      </x:c>
      <x:c r="T17" s="3" t="n">
        <x:v>4</x:v>
      </x:c>
      <x:c r="U17" s="3" t="n">
        <x:v>4</x:v>
      </x:c>
      <x:c r="V17" s="3" t="n">
        <x:v>1</x:v>
      </x:c>
      <x:c r="W17" s="3" t="n">
        <x:v>0</x:v>
      </x:c>
      <x:c r="X17" s="3" t="n">
        <x:v>0</x:v>
      </x:c>
      <x:c r="Y17" s="3" t="n">
        <x:v>0</x:v>
      </x:c>
    </x:row>
    <x:row r="18">
      <x:c r="A18" s="3" t="n">
        <x:v>10000772</x:v>
      </x:c>
      <x:c r="B18" s="6" t="n">
        <x:v>45144</x:v>
      </x:c>
      <x:c r="C18" s="5" t="n">
        <x:v>39716.9</x:v>
      </x:c>
      <x:c r="D18" s="5" t="n">
        <x:v>19620.4</x:v>
      </x:c>
      <x:c r="E18" s="5" t="n">
        <x:v>7747.5</x:v>
      </x:c>
      <x:c r="F18" s="3" t="n">
        <x:v>6605</x:v>
      </x:c>
      <x:c r="G18" s="3" t="n">
        <x:v>5744</x:v>
      </x:c>
      <x:c r="H18" s="3" t="n"/>
      <x:c r="I18" s="3" t="n">
        <x:v>88062</x:v>
      </x:c>
      <x:c r="J18" s="5" t="n">
        <x:v>0.003486180191228907</x:v>
      </x:c>
      <x:c r="K18" s="5" t="n">
        <x:v>0.05221321341781927</x:v>
      </x:c>
      <x:c r="L18" s="5" t="n">
        <x:v>0.2078081351774886</x:v>
      </x:c>
      <x:c r="M18" s="5" t="n">
        <x:v>0.4928686607163135</x:v>
      </x:c>
      <x:c r="N18" s="5" t="n">
        <x:v>0.1690286389134928</x:v>
      </x:c>
      <x:c r="O18" s="5" t="n">
        <x:v>0.07459517158365697</x:v>
      </x:c>
      <x:c r="P18" s="3" t="n">
        <x:v>15</x:v>
      </x:c>
      <x:c r="Q18" s="3" t="n">
        <x:v>1</x:v>
      </x:c>
      <x:c r="R18" s="3" t="n">
        <x:v>0</x:v>
      </x:c>
      <x:c r="S18" s="3" t="n">
        <x:v>4</x:v>
      </x:c>
      <x:c r="T18" s="3" t="n">
        <x:v>4</x:v>
      </x:c>
      <x:c r="U18" s="3" t="n">
        <x:v>3</x:v>
      </x:c>
      <x:c r="V18" s="3" t="n">
        <x:v>3</x:v>
      </x:c>
      <x:c r="W18" s="3" t="n">
        <x:v>0</x:v>
      </x:c>
      <x:c r="X18" s="3" t="n">
        <x:v>1</x:v>
      </x:c>
      <x:c r="Y18" s="3" t="n">
        <x:v>0</x:v>
      </x:c>
    </x:row>
    <x:row r="19">
      <x:c r="A19" s="3" t="n">
        <x:v>10000801</x:v>
      </x:c>
      <x:c r="B19" s="6" t="n">
        <x:v>45149</x:v>
      </x:c>
      <x:c r="C19" s="5" t="n">
        <x:v>51934.9</x:v>
      </x:c>
      <x:c r="D19" s="3" t="n">
        <x:v>30000</x:v>
      </x:c>
      <x:c r="E19" s="5" t="n">
        <x:v>15624.5</x:v>
      </x:c>
      <x:c r="F19" s="5" t="n">
        <x:v>5770.4</x:v>
      </x:c>
      <x:c r="G19" s="3" t="n">
        <x:v>540</x:v>
      </x:c>
      <x:c r="H19" s="3" t="n"/>
      <x:c r="I19" s="3" t="n">
        <x:v>198401</x:v>
      </x:c>
      <x:c r="J19" s="5" t="n">
        <x:v>0.004611871915968165</x:v>
      </x:c>
      <x:c r="K19" s="5" t="n">
        <x:v>0.03266112569997127</x:v>
      </x:c>
      <x:c r="L19" s="5" t="n">
        <x:v>0.1363601997973801</x:v>
      </x:c>
      <x:c r="M19" s="5" t="n">
        <x:v>0.4812324534654563</x:v>
      </x:c>
      <x:c r="N19" s="5" t="n">
        <x:v>0.2778211803367927</x:v>
      </x:c>
      <x:c r="O19" s="5" t="n">
        <x:v>0.06731316878443153</x:v>
      </x:c>
      <x:c r="P19" s="3" t="n">
        <x:v>38</x:v>
      </x:c>
      <x:c r="Q19" s="3" t="n">
        <x:v>7</x:v>
      </x:c>
      <x:c r="R19" s="3" t="n">
        <x:v>0</x:v>
      </x:c>
      <x:c r="S19" s="3" t="n">
        <x:v>20</x:v>
      </x:c>
      <x:c r="T19" s="3" t="n">
        <x:v>2</x:v>
      </x:c>
      <x:c r="U19" s="3" t="n">
        <x:v>7</x:v>
      </x:c>
      <x:c r="V19" s="3" t="n">
        <x:v>2</x:v>
      </x:c>
      <x:c r="W19" s="3" t="n">
        <x:v>1</x:v>
      </x:c>
      <x:c r="X19" s="3" t="n">
        <x:v>2</x:v>
      </x:c>
      <x:c r="Y19" s="3" t="n">
        <x:v>0</x:v>
      </x:c>
    </x:row>
    <x:row r="20">
      <x:c r="A20" s="3" t="n">
        <x:v>10000802</x:v>
      </x:c>
      <x:c r="B20" s="6" t="n">
        <x:v>45149</x:v>
      </x:c>
      <x:c r="C20" s="5" t="n">
        <x:v>47104.19999999998</x:v>
      </x:c>
      <x:c r="D20" s="5" t="n">
        <x:v>33717.6</x:v>
      </x:c>
      <x:c r="E20" s="5" t="n">
        <x:v>9025.399999999991</x:v>
      </x:c>
      <x:c r="F20" s="5" t="n">
        <x:v>4361.2</x:v>
      </x:c>
      <x:c r="G20" s="3" t="n"/>
      <x:c r="H20" s="3" t="n"/>
      <x:c r="I20" s="3" t="n">
        <x:v>179512</x:v>
      </x:c>
      <x:c r="J20" s="5" t="n">
        <x:v>0.00713044253308971</x:v>
      </x:c>
      <x:c r="K20" s="5" t="n">
        <x:v>0.0561912295556843</x:v>
      </x:c>
      <x:c r="L20" s="5" t="n">
        <x:v>0.1813472079860956</x:v>
      </x:c>
      <x:c r="M20" s="5" t="n">
        <x:v>0.4318485672267035</x:v>
      </x:c>
      <x:c r="N20" s="5" t="n">
        <x:v>0.1950955924952092</x:v>
      </x:c>
      <x:c r="O20" s="5" t="n">
        <x:v>0.1283869602032176</x:v>
      </x:c>
      <x:c r="P20" s="3" t="n">
        <x:v>45</x:v>
      </x:c>
      <x:c r="Q20" s="3" t="n">
        <x:v>3</x:v>
      </x:c>
      <x:c r="R20" s="3" t="n">
        <x:v>2</x:v>
      </x:c>
      <x:c r="S20" s="3" t="n">
        <x:v>26</x:v>
      </x:c>
      <x:c r="T20" s="3" t="n">
        <x:v>5</x:v>
      </x:c>
      <x:c r="U20" s="3" t="n">
        <x:v>8</x:v>
      </x:c>
      <x:c r="V20" s="3" t="n">
        <x:v>1</x:v>
      </x:c>
      <x:c r="W20" s="3" t="n">
        <x:v>0</x:v>
      </x:c>
      <x:c r="X20" s="3" t="n">
        <x:v>2</x:v>
      </x:c>
      <x:c r="Y20" s="3" t="n">
        <x:v>0</x:v>
      </x:c>
    </x:row>
    <x:row r="21">
      <x:c r="A21" s="3" t="n">
        <x:v>10000822</x:v>
      </x:c>
      <x:c r="B21" s="6" t="n">
        <x:v>45192</x:v>
      </x:c>
      <x:c r="C21" s="3" t="n">
        <x:v>37317</x:v>
      </x:c>
      <x:c r="D21" s="3" t="n">
        <x:v>17491</x:v>
      </x:c>
      <x:c r="E21" s="3" t="n">
        <x:v>13752</x:v>
      </x:c>
      <x:c r="F21" s="3" t="n">
        <x:v>6074</x:v>
      </x:c>
      <x:c r="G21" s="3" t="n"/>
      <x:c r="H21" s="3" t="n"/>
      <x:c r="I21" s="3" t="n">
        <x:v>102680</x:v>
      </x:c>
      <x:c r="J21" s="5" t="n">
        <x:v>0.004772107518504091</x:v>
      </x:c>
      <x:c r="K21" s="5" t="n">
        <x:v>0.05247370471367355</x:v>
      </x:c>
      <x:c r="L21" s="5" t="n">
        <x:v>0.1749026100506428</x:v>
      </x:c>
      <x:c r="M21" s="5" t="n">
        <x:v>0.4499902610050643</x:v>
      </x:c>
      <x:c r="N21" s="5" t="n">
        <x:v>0.2378749513050253</x:v>
      </x:c>
      <x:c r="O21" s="5" t="n">
        <x:v>0.07998636540708999</x:v>
      </x:c>
      <x:c r="P21" s="3" t="n">
        <x:v>14</x:v>
      </x:c>
      <x:c r="Q21" s="3" t="n">
        <x:v>1</x:v>
      </x:c>
      <x:c r="R21" s="3" t="n">
        <x:v>0</x:v>
      </x:c>
      <x:c r="S21" s="3" t="n">
        <x:v>8</x:v>
      </x:c>
      <x:c r="T21" s="3" t="n">
        <x:v>2</x:v>
      </x:c>
      <x:c r="U21" s="3" t="n">
        <x:v>0</x:v>
      </x:c>
      <x:c r="V21" s="3" t="n">
        <x:v>3</x:v>
      </x:c>
      <x:c r="W21" s="3" t="n">
        <x:v>0</x:v>
      </x:c>
      <x:c r="X21" s="3" t="n">
        <x:v>1</x:v>
      </x:c>
      <x:c r="Y21" s="3" t="n">
        <x:v>0</x:v>
      </x:c>
    </x:row>
    <x:row r="22">
      <x:c r="A22" s="3" t="n">
        <x:v>10000839</x:v>
      </x:c>
      <x:c r="B22" s="6" t="n">
        <x:v>45197</x:v>
      </x:c>
      <x:c r="C22" s="5" t="n">
        <x:v>45540.4999999999</x:v>
      </x:c>
      <x:c r="D22" s="5" t="n">
        <x:v>26171.1999999999</x:v>
      </x:c>
      <x:c r="E22" s="5" t="n">
        <x:v>16975.5</x:v>
      </x:c>
      <x:c r="F22" s="5" t="n">
        <x:v>2393.8</x:v>
      </x:c>
      <x:c r="G22" s="3" t="n"/>
      <x:c r="H22" s="3" t="n"/>
      <x:c r="I22" s="3" t="n">
        <x:v>203847</x:v>
      </x:c>
      <x:c r="J22" s="5" t="n">
        <x:v>0.003625267970585782</x:v>
      </x:c>
      <x:c r="K22" s="5" t="n">
        <x:v>0.03294627833620313</x:v>
      </x:c>
      <x:c r="L22" s="5" t="n">
        <x:v>0.1335118986298547</x:v>
      </x:c>
      <x:c r="M22" s="5" t="n">
        <x:v>0.44214042885105</x:v>
      </x:c>
      <x:c r="N22" s="5" t="n">
        <x:v>0.2977478206694236</x:v>
      </x:c>
      <x:c r="O22" s="5" t="n">
        <x:v>0.09002830554288266</x:v>
      </x:c>
      <x:c r="P22" s="3" t="n">
        <x:v>53</x:v>
      </x:c>
      <x:c r="Q22" s="3" t="n">
        <x:v>6</x:v>
      </x:c>
      <x:c r="R22" s="3" t="n">
        <x:v>1</x:v>
      </x:c>
      <x:c r="S22" s="3" t="n">
        <x:v>30</x:v>
      </x:c>
      <x:c r="T22" s="3" t="n">
        <x:v>9</x:v>
      </x:c>
      <x:c r="U22" s="3" t="n">
        <x:v>6</x:v>
      </x:c>
      <x:c r="V22" s="3" t="n">
        <x:v>1</x:v>
      </x:c>
      <x:c r="W22" s="3" t="n">
        <x:v>0</x:v>
      </x:c>
      <x:c r="X22" s="3" t="n">
        <x:v>1</x:v>
      </x:c>
      <x:c r="Y22" s="3" t="n">
        <x:v>0</x:v>
      </x:c>
    </x:row>
    <x:row r="23">
      <x:c r="A23" s="3" t="n">
        <x:v>10000843</x:v>
      </x:c>
      <x:c r="B23" s="6" t="n">
        <x:v>45197</x:v>
      </x:c>
      <x:c r="C23" s="5" t="n">
        <x:v>43239.8</x:v>
      </x:c>
      <x:c r="D23" s="5" t="n">
        <x:v>16947.1</x:v>
      </x:c>
      <x:c r="E23" s="5" t="n">
        <x:v>15395.3</x:v>
      </x:c>
      <x:c r="F23" s="5" t="n">
        <x:v>10897.4</x:v>
      </x:c>
      <x:c r="G23" s="3" t="n"/>
      <x:c r="H23" s="3" t="n"/>
      <x:c r="I23" s="3" t="n">
        <x:v>151102</x:v>
      </x:c>
      <x:c r="J23" s="5" t="n">
        <x:v>0.01316329366917711</x:v>
      </x:c>
      <x:c r="K23" s="5" t="n">
        <x:v>0.1049688290029252</x:v>
      </x:c>
      <x:c r="L23" s="5" t="n">
        <x:v>0.2748474540376699</x:v>
      </x:c>
      <x:c r="M23" s="5" t="n">
        <x:v>0.4226946036452198</x:v>
      </x:c>
      <x:c r="N23" s="5" t="n">
        <x:v>0.1187674550965573</x:v>
      </x:c>
      <x:c r="O23" s="5" t="n">
        <x:v>0.06555836454845071</x:v>
      </x:c>
      <x:c r="P23" s="3" t="n">
        <x:v>24</x:v>
      </x:c>
      <x:c r="Q23" s="3" t="n">
        <x:v>4</x:v>
      </x:c>
      <x:c r="R23" s="3" t="n">
        <x:v>0</x:v>
      </x:c>
      <x:c r="S23" s="3" t="n">
        <x:v>8</x:v>
      </x:c>
      <x:c r="T23" s="3" t="n">
        <x:v>3</x:v>
      </x:c>
      <x:c r="U23" s="3" t="n">
        <x:v>4</x:v>
      </x:c>
      <x:c r="V23" s="3" t="n">
        <x:v>5</x:v>
      </x:c>
      <x:c r="W23" s="3" t="n">
        <x:v>0</x:v>
      </x:c>
      <x:c r="X23" s="3" t="n">
        <x:v>2</x:v>
      </x:c>
      <x:c r="Y23" s="3" t="n">
        <x:v>0</x:v>
      </x:c>
    </x:row>
    <x:row r="24">
      <x:c r="A24" s="3" t="n">
        <x:v>10000849</x:v>
      </x:c>
      <x:c r="B24" s="6" t="n">
        <x:v>45197</x:v>
      </x:c>
      <x:c r="C24" s="5" t="n">
        <x:v>57732.6999999999</x:v>
      </x:c>
      <x:c r="D24" s="5" t="n">
        <x:v>26922.1999999999</x:v>
      </x:c>
      <x:c r="E24" s="5" t="n">
        <x:v>21488.5</x:v>
      </x:c>
      <x:c r="F24" s="3" t="n">
        <x:v>8020</x:v>
      </x:c>
      <x:c r="G24" s="3" t="n">
        <x:v>1302</x:v>
      </x:c>
      <x:c r="H24" s="3" t="n"/>
      <x:c r="I24" s="3" t="n">
        <x:v>136719</x:v>
      </x:c>
      <x:c r="J24" s="5" t="n">
        <x:v>0.005383304441957592</x:v>
      </x:c>
      <x:c r="K24" s="5" t="n">
        <x:v>0.04252517938252913</x:v>
      </x:c>
      <x:c r="L24" s="5" t="n">
        <x:v>0.1548358311573373</x:v>
      </x:c>
      <x:c r="M24" s="5" t="n">
        <x:v>0.4806208354361866</x:v>
      </x:c>
      <x:c r="N24" s="5" t="n">
        <x:v>0.2510623980573293</x:v>
      </x:c>
      <x:c r="O24" s="5" t="n">
        <x:v>0.06557245152466007</x:v>
      </x:c>
      <x:c r="P24" s="3" t="n">
        <x:v>28</x:v>
      </x:c>
      <x:c r="Q24" s="3" t="n">
        <x:v>3</x:v>
      </x:c>
      <x:c r="R24" s="3" t="n">
        <x:v>2</x:v>
      </x:c>
      <x:c r="S24" s="3" t="n">
        <x:v>13</x:v>
      </x:c>
      <x:c r="T24" s="3" t="n">
        <x:v>4</x:v>
      </x:c>
      <x:c r="U24" s="3" t="n">
        <x:v>1</x:v>
      </x:c>
      <x:c r="V24" s="3" t="n">
        <x:v>5</x:v>
      </x:c>
      <x:c r="W24" s="3" t="n">
        <x:v>1</x:v>
      </x:c>
      <x:c r="X24" s="3" t="n">
        <x:v>1</x:v>
      </x:c>
      <x:c r="Y24" s="3" t="n">
        <x:v>0</x:v>
      </x:c>
    </x:row>
    <x:row r="25">
      <x:c r="A25" s="3" t="n">
        <x:v>10000861</x:v>
      </x:c>
      <x:c r="B25" s="6" t="n">
        <x:v>45221</x:v>
      </x:c>
      <x:c r="C25" s="3" t="n">
        <x:v>63907</x:v>
      </x:c>
      <x:c r="D25" s="5" t="n">
        <x:v>36421.5</x:v>
      </x:c>
      <x:c r="E25" s="3" t="n">
        <x:v>15309</x:v>
      </x:c>
      <x:c r="F25" s="5" t="n">
        <x:v>12176.5</x:v>
      </x:c>
      <x:c r="G25" s="3" t="n"/>
      <x:c r="H25" s="3" t="n"/>
      <x:c r="I25" s="3" t="n">
        <x:v>218130</x:v>
      </x:c>
      <x:c r="J25" s="5" t="n">
        <x:v>0.003053225140970981</x:v>
      </x:c>
      <x:c r="K25" s="5" t="n">
        <x:v>0.02507220464860404</x:v>
      </x:c>
      <x:c r="L25" s="5" t="n">
        <x:v>0.1069866593315913</x:v>
      </x:c>
      <x:c r="M25" s="5" t="n">
        <x:v>0.4400678494475772</x:v>
      </x:c>
      <x:c r="N25" s="5" t="n">
        <x:v>0.3571769128501353</x:v>
      </x:c>
      <x:c r="O25" s="5" t="n">
        <x:v>0.06764314858112135</x:v>
      </x:c>
      <x:c r="P25" s="3" t="n">
        <x:v>51</x:v>
      </x:c>
      <x:c r="Q25" s="3" t="n">
        <x:v>5</x:v>
      </x:c>
      <x:c r="R25" s="3" t="n">
        <x:v>1</x:v>
      </x:c>
      <x:c r="S25" s="3" t="n">
        <x:v>33</x:v>
      </x:c>
      <x:c r="T25" s="3" t="n">
        <x:v>2</x:v>
      </x:c>
      <x:c r="U25" s="3" t="n">
        <x:v>3</x:v>
      </x:c>
      <x:c r="V25" s="3" t="n">
        <x:v>7</x:v>
      </x:c>
      <x:c r="W25" s="3" t="n">
        <x:v>0</x:v>
      </x:c>
      <x:c r="X25" s="3" t="n">
        <x:v>2</x:v>
      </x:c>
      <x:c r="Y25" s="3" t="n">
        <x:v>0</x:v>
      </x:c>
    </x:row>
    <x:row r="26">
      <x:c r="A26" s="3" t="n">
        <x:v>10000867</x:v>
      </x:c>
      <x:c r="B26" s="6" t="n">
        <x:v>45226</x:v>
      </x:c>
      <x:c r="C26" s="5" t="n">
        <x:v>46744.39999999999</x:v>
      </x:c>
      <x:c r="D26" s="5" t="n">
        <x:v>31643.6</x:v>
      </x:c>
      <x:c r="E26" s="5" t="n">
        <x:v>11886.8</x:v>
      </x:c>
      <x:c r="F26" s="3" t="n">
        <x:v>3214</x:v>
      </x:c>
      <x:c r="G26" s="3" t="n"/>
      <x:c r="H26" s="3" t="n"/>
      <x:c r="I26" s="3" t="n">
        <x:v>147740</x:v>
      </x:c>
      <x:c r="J26" s="5" t="n">
        <x:v>0.00450791931772032</x:v>
      </x:c>
      <x:c r="K26" s="5" t="n">
        <x:v>0.03796534452416407</x:v>
      </x:c>
      <x:c r="L26" s="5" t="n">
        <x:v>0.1371057262758901</x:v>
      </x:c>
      <x:c r="M26" s="5" t="n">
        <x:v>0.4391566265060241</x:v>
      </x:c>
      <x:c r="N26" s="5" t="n">
        <x:v>0.2912819818600244</x:v>
      </x:c>
      <x:c r="O26" s="5" t="n">
        <x:v>0.08998240151617706</x:v>
      </x:c>
      <x:c r="P26" s="3" t="n">
        <x:v>35</x:v>
      </x:c>
      <x:c r="Q26" s="3" t="n">
        <x:v>1</x:v>
      </x:c>
      <x:c r="R26" s="3" t="n">
        <x:v>0</x:v>
      </x:c>
      <x:c r="S26" s="3" t="n">
        <x:v>23</x:v>
      </x:c>
      <x:c r="T26" s="3" t="n">
        <x:v>4</x:v>
      </x:c>
      <x:c r="U26" s="3" t="n">
        <x:v>4</x:v>
      </x:c>
      <x:c r="V26" s="3" t="n">
        <x:v>3</x:v>
      </x:c>
      <x:c r="W26" s="3" t="n">
        <x:v>0</x:v>
      </x:c>
      <x:c r="X26" s="3" t="n">
        <x:v>0</x:v>
      </x:c>
      <x:c r="Y26" s="3" t="n">
        <x:v>0</x:v>
      </x:c>
    </x:row>
    <x:row r="27">
      <x:c r="A27" s="3" t="n">
        <x:v>10000868</x:v>
      </x:c>
      <x:c r="B27" s="6" t="n">
        <x:v>45240</x:v>
      </x:c>
      <x:c r="C27" s="5" t="n">
        <x:v>47778.6</x:v>
      </x:c>
      <x:c r="D27" s="5" t="n">
        <x:v>26378.3</x:v>
      </x:c>
      <x:c r="E27" s="5" t="n">
        <x:v>14741.2</x:v>
      </x:c>
      <x:c r="F27" s="5" t="n">
        <x:v>6659.1</x:v>
      </x:c>
      <x:c r="G27" s="3" t="n"/>
      <x:c r="H27" s="3" t="n"/>
      <x:c r="I27" s="3" t="n">
        <x:v>113580</x:v>
      </x:c>
      <x:c r="J27" s="5" t="n">
        <x:v>0.002702940658566649</x:v>
      </x:c>
      <x:c r="K27" s="5" t="n">
        <x:v>0.02729353759464695</x:v>
      </x:c>
      <x:c r="L27" s="5" t="n">
        <x:v>0.1257703821095263</x:v>
      </x:c>
      <x:c r="M27" s="5" t="n">
        <x:v>0.4809033280507132</x:v>
      </x:c>
      <x:c r="N27" s="5" t="n">
        <x:v>0.2869783412572636</x:v>
      </x:c>
      <x:c r="O27" s="5" t="n">
        <x:v>0.07635147032928333</x:v>
      </x:c>
      <x:c r="P27" s="3" t="n">
        <x:v>30</x:v>
      </x:c>
      <x:c r="Q27" s="3" t="n">
        <x:v>5</x:v>
      </x:c>
      <x:c r="R27" s="3" t="n">
        <x:v>2</x:v>
      </x:c>
      <x:c r="S27" s="3" t="n">
        <x:v>11</x:v>
      </x:c>
      <x:c r="T27" s="3" t="n">
        <x:v>4</x:v>
      </x:c>
      <x:c r="U27" s="3" t="n">
        <x:v>5</x:v>
      </x:c>
      <x:c r="V27" s="3" t="n">
        <x:v>3</x:v>
      </x:c>
      <x:c r="W27" s="3" t="n">
        <x:v>0</x:v>
      </x:c>
      <x:c r="X27" s="3" t="n">
        <x:v>3</x:v>
      </x:c>
      <x:c r="Y27" s="3" t="n">
        <x:v>0</x:v>
      </x:c>
    </x:row>
    <x:row r="28">
      <x:c r="A28" s="3" t="n">
        <x:v>10000869</x:v>
      </x:c>
      <x:c r="B28" s="6" t="n">
        <x:v>45348</x:v>
      </x:c>
      <x:c r="C28" s="5" t="n">
        <x:v>42015.1</x:v>
      </x:c>
      <x:c r="D28" s="5" t="n">
        <x:v>17951.8</x:v>
      </x:c>
      <x:c r="E28" s="5" t="n">
        <x:v>8251.299999999999</x:v>
      </x:c>
      <x:c r="F28" s="3" t="n">
        <x:v>14684</x:v>
      </x:c>
      <x:c r="G28" s="3" t="n">
        <x:v>1128</x:v>
      </x:c>
      <x:c r="H28" s="3" t="n"/>
      <x:c r="I28" s="3" t="n">
        <x:v>120458</x:v>
      </x:c>
      <x:c r="J28" s="5" t="n">
        <x:v>0.006566604127579738</x:v>
      </x:c>
      <x:c r="K28" s="5" t="n">
        <x:v>0.05717345464809311</x:v>
      </x:c>
      <x:c r="L28" s="5" t="n">
        <x:v>0.1843215062511415</x:v>
      </x:c>
      <x:c r="M28" s="5" t="n">
        <x:v>0.4493765461820717</x:v>
      </x:c>
      <x:c r="N28" s="5" t="n">
        <x:v>0.2328778495409188</x:v>
      </x:c>
      <x:c r="O28" s="5" t="n">
        <x:v>0.06968403925019509</x:v>
      </x:c>
      <x:c r="P28" s="3" t="n">
        <x:v>12</x:v>
      </x:c>
      <x:c r="Q28" s="3" t="n">
        <x:v>2</x:v>
      </x:c>
      <x:c r="R28" s="3" t="n">
        <x:v>0</x:v>
      </x:c>
      <x:c r="S28" s="3" t="n">
        <x:v>8</x:v>
      </x:c>
      <x:c r="T28" s="3" t="n">
        <x:v>2</x:v>
      </x:c>
      <x:c r="U28" s="3" t="n">
        <x:v>0</x:v>
      </x:c>
      <x:c r="V28" s="3" t="n">
        <x:v>0</x:v>
      </x:c>
      <x:c r="W28" s="3" t="n">
        <x:v>0</x:v>
      </x:c>
      <x:c r="X28" s="3" t="n">
        <x:v>1</x:v>
      </x:c>
      <x:c r="Y28" s="3" t="n">
        <x:v>0</x:v>
      </x:c>
    </x:row>
    <x:row r="29">
      <x:c r="A29" s="3" t="n">
        <x:v>10000886</x:v>
      </x:c>
      <x:c r="B29" s="6" t="n">
        <x:v>45248</x:v>
      </x:c>
      <x:c r="C29" s="5" t="n">
        <x:v>35239.8</x:v>
      </x:c>
      <x:c r="D29" s="5" t="n">
        <x:v>19440.8</x:v>
      </x:c>
      <x:c r="E29" s="3" t="n">
        <x:v>10720</x:v>
      </x:c>
      <x:c r="F29" s="3" t="n">
        <x:v>5079</x:v>
      </x:c>
      <x:c r="G29" s="3" t="n"/>
      <x:c r="H29" s="3" t="n"/>
      <x:c r="I29" s="3" t="n">
        <x:v>241909</x:v>
      </x:c>
      <x:c r="J29" s="5" t="n">
        <x:v>0.006035327333832143</x:v>
      </x:c>
      <x:c r="K29" s="5" t="n">
        <x:v>0.05384669441814897</x:v>
      </x:c>
      <x:c r="L29" s="5" t="n">
        <x:v>0.1762852973638848</x:v>
      </x:c>
      <x:c r="M29" s="5" t="n">
        <x:v>0.4196164673492925</x:v>
      </x:c>
      <x:c r="N29" s="5" t="n">
        <x:v>0.1839079984622317</x:v>
      </x:c>
      <x:c r="O29" s="5" t="n">
        <x:v>0.1603082150726099</x:v>
      </x:c>
      <x:c r="P29" s="3" t="n">
        <x:v>83</x:v>
      </x:c>
      <x:c r="Q29" s="3" t="n">
        <x:v>2</x:v>
      </x:c>
      <x:c r="R29" s="3" t="n">
        <x:v>0</x:v>
      </x:c>
      <x:c r="S29" s="3" t="n">
        <x:v>61</x:v>
      </x:c>
      <x:c r="T29" s="3" t="n">
        <x:v>10</x:v>
      </x:c>
      <x:c r="U29" s="3" t="n">
        <x:v>10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</x:row>
    <x:row r="30">
      <x:c r="A30" s="3" t="n">
        <x:v>10000888</x:v>
      </x:c>
      <x:c r="B30" s="6" t="n">
        <x:v>45260</x:v>
      </x:c>
      <x:c r="C30" s="5" t="n">
        <x:v>42095.4</x:v>
      </x:c>
      <x:c r="D30" s="5" t="n">
        <x:v>10126.2</x:v>
      </x:c>
      <x:c r="E30" s="3" t="n">
        <x:v>14413</x:v>
      </x:c>
      <x:c r="F30" s="3" t="n">
        <x:v>6004</x:v>
      </x:c>
      <x:c r="G30" s="3" t="n">
        <x:v>2208</x:v>
      </x:c>
      <x:c r="H30" s="5" t="n">
        <x:v>9344.200000000001</x:v>
      </x:c>
      <x:c r="I30" s="3" t="n">
        <x:v>102556</x:v>
      </x:c>
      <x:c r="J30" s="5" t="n">
        <x:v>0.007400834665938609</x:v>
      </x:c>
      <x:c r="K30" s="5" t="n">
        <x:v>0.06731931822613986</x:v>
      </x:c>
      <x:c r="L30" s="5" t="n">
        <x:v>0.2306642224735754</x:v>
      </x:c>
      <x:c r="M30" s="5" t="n">
        <x:v>0.4821853426420687</x:v>
      </x:c>
      <x:c r="N30" s="5" t="n">
        <x:v>0.1427902804321541</x:v>
      </x:c>
      <x:c r="O30" s="5" t="n">
        <x:v>0.06964000156012325</x:v>
      </x:c>
      <x:c r="P30" s="3" t="n">
        <x:v>13</x:v>
      </x:c>
      <x:c r="Q30" s="3" t="n">
        <x:v>3</x:v>
      </x:c>
      <x:c r="R30" s="3" t="n">
        <x:v>0</x:v>
      </x:c>
      <x:c r="S30" s="3" t="n">
        <x:v>1</x:v>
      </x:c>
      <x:c r="T30" s="3" t="n">
        <x:v>5</x:v>
      </x:c>
      <x:c r="U30" s="3" t="n">
        <x:v>3</x:v>
      </x:c>
      <x:c r="V30" s="3" t="n">
        <x:v>1</x:v>
      </x:c>
      <x:c r="W30" s="3" t="n">
        <x:v>0</x:v>
      </x:c>
      <x:c r="X30" s="3" t="n">
        <x:v>1</x:v>
      </x:c>
      <x:c r="Y30" s="3" t="n">
        <x:v>0</x:v>
      </x:c>
    </x:row>
    <x:row r="31">
      <x:c r="A31" s="3" t="n">
        <x:v>10000920</x:v>
      </x:c>
      <x:c r="B31" s="6" t="n">
        <x:v>45271</x:v>
      </x:c>
      <x:c r="C31" s="5" t="n">
        <x:v>69892.8</x:v>
      </x:c>
      <x:c r="D31" s="5" t="n">
        <x:v>27685.4</x:v>
      </x:c>
      <x:c r="E31" s="5" t="n">
        <x:v>25324.5</x:v>
      </x:c>
      <x:c r="F31" s="5" t="n">
        <x:v>7626.9</x:v>
      </x:c>
      <x:c r="G31" s="3" t="n">
        <x:v>9256</x:v>
      </x:c>
      <x:c r="H31" s="3" t="n"/>
      <x:c r="I31" s="3" t="n">
        <x:v>228688</x:v>
      </x:c>
      <x:c r="J31" s="5" t="n">
        <x:v>0.01106310781501434</x:v>
      </x:c>
      <x:c r="K31" s="5" t="n">
        <x:v>0.1034509899951025</x:v>
      </x:c>
      <x:c r="L31" s="5" t="n">
        <x:v>0.277976981739313</x:v>
      </x:c>
      <x:c r="M31" s="5" t="n">
        <x:v>0.4072579234590359</x:v>
      </x:c>
      <x:c r="N31" s="5" t="n">
        <x:v>0.1218297418316659</x:v>
      </x:c>
      <x:c r="O31" s="5" t="n">
        <x:v>0.07842125515986846</x:v>
      </x:c>
      <x:c r="P31" s="3" t="n">
        <x:v>26</x:v>
      </x:c>
      <x:c r="Q31" s="3" t="n">
        <x:v>5</x:v>
      </x:c>
      <x:c r="R31" s="3" t="n">
        <x:v>0</x:v>
      </x:c>
      <x:c r="S31" s="3" t="n">
        <x:v>15</x:v>
      </x:c>
      <x:c r="T31" s="3" t="n">
        <x:v>2</x:v>
      </x:c>
      <x:c r="U31" s="3" t="n">
        <x:v>2</x:v>
      </x:c>
      <x:c r="V31" s="3" t="n">
        <x:v>2</x:v>
      </x:c>
      <x:c r="W31" s="3" t="n">
        <x:v>1</x:v>
      </x:c>
      <x:c r="X31" s="3" t="n">
        <x:v>1</x:v>
      </x:c>
      <x:c r="Y31" s="3" t="n">
        <x:v>0</x:v>
      </x:c>
    </x:row>
    <x:row r="32">
      <x:c r="A32" s="3" t="n">
        <x:v>10000921</x:v>
      </x:c>
      <x:c r="B32" s="6" t="n">
        <x:v>45284</x:v>
      </x:c>
      <x:c r="C32" s="5" t="n">
        <x:v>39068.79999999989</x:v>
      </x:c>
      <x:c r="D32" s="5" t="n">
        <x:v>25251.1999999999</x:v>
      </x:c>
      <x:c r="E32" s="3" t="n">
        <x:v>13808</x:v>
      </x:c>
      <x:c r="F32" s="5" t="n">
        <x:v>9.6</x:v>
      </x:c>
      <x:c r="G32" s="3" t="n"/>
      <x:c r="H32" s="3" t="n"/>
      <x:c r="I32" s="3" t="n">
        <x:v>103246</x:v>
      </x:c>
      <x:c r="J32" s="5" t="n">
        <x:v>0.007554772097708386</x:v>
      </x:c>
      <x:c r="K32" s="5" t="n">
        <x:v>0.07247738411173314</x:v>
      </x:c>
      <x:c r="L32" s="5" t="n">
        <x:v>0.2098676946322376</x:v>
      </x:c>
      <x:c r="M32" s="5" t="n">
        <x:v>0.4561629506227844</x:v>
      </x:c>
      <x:c r="N32" s="5" t="n">
        <x:v>0.1824477461596575</x:v>
      </x:c>
      <x:c r="O32" s="5" t="n">
        <x:v>0.07148945237587896</x:v>
      </x:c>
      <x:c r="P32" s="3" t="n">
        <x:v>20</x:v>
      </x:c>
      <x:c r="Q32" s="3" t="n">
        <x:v>5</x:v>
      </x:c>
      <x:c r="R32" s="3" t="n">
        <x:v>0</x:v>
      </x:c>
      <x:c r="S32" s="3" t="n">
        <x:v>9</x:v>
      </x:c>
      <x:c r="T32" s="3" t="n">
        <x:v>2</x:v>
      </x:c>
      <x:c r="U32" s="3" t="n">
        <x:v>0</x:v>
      </x:c>
      <x:c r="V32" s="3" t="n">
        <x:v>4</x:v>
      </x:c>
      <x:c r="W32" s="3" t="n">
        <x:v>0</x:v>
      </x:c>
      <x:c r="X32" s="3" t="n">
        <x:v>2</x:v>
      </x:c>
      <x:c r="Y32" s="3" t="n">
        <x:v>0</x:v>
      </x:c>
    </x:row>
    <x:row r="33">
      <x:c r="A33" s="3" t="n">
        <x:v>10000928</x:v>
      </x:c>
      <x:c r="B33" s="6" t="n">
        <x:v>45281</x:v>
      </x:c>
      <x:c r="C33" s="3" t="n">
        <x:v>60046</x:v>
      </x:c>
      <x:c r="D33" s="3" t="n">
        <x:v>22617</x:v>
      </x:c>
      <x:c r="E33" s="5" t="n">
        <x:v>22453.8</x:v>
      </x:c>
      <x:c r="F33" s="5" t="n">
        <x:v>11070.2</x:v>
      </x:c>
      <x:c r="G33" s="3" t="n">
        <x:v>3905</x:v>
      </x:c>
      <x:c r="H33" s="3" t="n"/>
      <x:c r="I33" s="3" t="n">
        <x:v>142026</x:v>
      </x:c>
      <x:c r="J33" s="5" t="n">
        <x:v>0.00507653528227226</x:v>
      </x:c>
      <x:c r="K33" s="5" t="n">
        <x:v>0.06327010547364567</x:v>
      </x:c>
      <x:c r="L33" s="5" t="n">
        <x:v>0.2315913987579739</x:v>
      </x:c>
      <x:c r="M33" s="5" t="n">
        <x:v>0.4835734302170025</x:v>
      </x:c>
      <x:c r="N33" s="5" t="n">
        <x:v>0.146114091786011</x:v>
      </x:c>
      <x:c r="O33" s="5" t="n">
        <x:v>0.07037443848309465</x:v>
      </x:c>
      <x:c r="P33" s="3" t="n">
        <x:v>20</x:v>
      </x:c>
      <x:c r="Q33" s="3" t="n">
        <x:v>4</x:v>
      </x:c>
      <x:c r="R33" s="3" t="n">
        <x:v>0</x:v>
      </x:c>
      <x:c r="S33" s="3" t="n">
        <x:v>7</x:v>
      </x:c>
      <x:c r="T33" s="3" t="n">
        <x:v>4</x:v>
      </x:c>
      <x:c r="U33" s="3" t="n">
        <x:v>3</x:v>
      </x:c>
      <x:c r="V33" s="3" t="n">
        <x:v>2</x:v>
      </x:c>
      <x:c r="W33" s="3" t="n">
        <x:v>1</x:v>
      </x:c>
      <x:c r="X33" s="3" t="n">
        <x:v>1</x:v>
      </x:c>
      <x:c r="Y33" s="3" t="n">
        <x:v>1</x:v>
      </x:c>
    </x:row>
    <x:row r="34">
      <x:c r="A34" s="3" t="n">
        <x:v>10000929</x:v>
      </x:c>
      <x:c r="B34" s="6" t="n">
        <x:v>45286</x:v>
      </x:c>
      <x:c r="C34" s="5" t="n">
        <x:v>79837.10000000001</x:v>
      </x:c>
      <x:c r="D34" s="5" t="n">
        <x:v>30410.8</x:v>
      </x:c>
      <x:c r="E34" s="3" t="n">
        <x:v>21261</x:v>
      </x:c>
      <x:c r="F34" s="5" t="n">
        <x:v>25947.5</x:v>
      </x:c>
      <x:c r="G34" s="5" t="n">
        <x:v>2217.8</x:v>
      </x:c>
      <x:c r="H34" s="3" t="n"/>
      <x:c r="I34" s="3" t="n">
        <x:v>156887</x:v>
      </x:c>
      <x:c r="J34" s="5" t="n">
        <x:v>0.005583636630186057</x:v>
      </x:c>
      <x:c r="K34" s="5" t="n">
        <x:v>0.06981457992057978</x:v>
      </x:c>
      <x:c r="L34" s="5" t="n">
        <x:v>0.2202094501137762</x:v>
      </x:c>
      <x:c r="M34" s="5" t="n">
        <x:v>0.4598405221592611</x:v>
      </x:c>
      <x:c r="N34" s="5" t="n">
        <x:v>0.1678214256120647</x:v>
      </x:c>
      <x:c r="O34" s="5" t="n">
        <x:v>0.07673038556413214</x:v>
      </x:c>
      <x:c r="P34" s="3" t="n">
        <x:v>43</x:v>
      </x:c>
      <x:c r="Q34" s="3" t="n">
        <x:v>7</x:v>
      </x:c>
      <x:c r="R34" s="3" t="n">
        <x:v>0</x:v>
      </x:c>
      <x:c r="S34" s="3" t="n">
        <x:v>21</x:v>
      </x:c>
      <x:c r="T34" s="3" t="n">
        <x:v>2</x:v>
      </x:c>
      <x:c r="U34" s="3" t="n">
        <x:v>7</x:v>
      </x:c>
      <x:c r="V34" s="3" t="n">
        <x:v>6</x:v>
      </x:c>
      <x:c r="W34" s="3" t="n">
        <x:v>1</x:v>
      </x:c>
      <x:c r="X34" s="3" t="n">
        <x:v>3</x:v>
      </x:c>
      <x:c r="Y34" s="3" t="n">
        <x:v>0</x:v>
      </x:c>
    </x:row>
    <x:row r="35">
      <x:c r="A35" s="3" t="n">
        <x:v>10000930</x:v>
      </x:c>
      <x:c r="B35" s="6" t="n">
        <x:v>45284</x:v>
      </x:c>
      <x:c r="C35" s="5" t="n">
        <x:v>35803.7</x:v>
      </x:c>
      <x:c r="D35" s="5" t="n">
        <x:v>22132.8</x:v>
      </x:c>
      <x:c r="E35" s="5" t="n">
        <x:v>12534.9</x:v>
      </x:c>
      <x:c r="F35" s="3" t="n">
        <x:v>1136</x:v>
      </x:c>
      <x:c r="G35" s="3" t="n"/>
      <x:c r="H35" s="3" t="n"/>
      <x:c r="I35" s="3" t="n">
        <x:v>152964</x:v>
      </x:c>
      <x:c r="J35" s="5" t="n">
        <x:v>0.01451321879657959</x:v>
      </x:c>
      <x:c r="K35" s="5" t="n">
        <x:v>0.08913208336602076</x:v>
      </x:c>
      <x:c r="L35" s="5" t="n">
        <x:v>0.2326691247613818</x:v>
      </x:c>
      <x:c r="M35" s="5" t="n">
        <x:v>0.4266951701053843</x:v>
      </x:c>
      <x:c r="N35" s="5" t="n">
        <x:v>0.1735114144504589</x:v>
      </x:c>
      <x:c r="O35" s="5" t="n">
        <x:v>0.06347898852017468</x:v>
      </x:c>
      <x:c r="P35" s="3" t="n">
        <x:v>26</x:v>
      </x:c>
      <x:c r="Q35" s="3" t="n">
        <x:v>3</x:v>
      </x:c>
      <x:c r="R35" s="3" t="n">
        <x:v>0</x:v>
      </x:c>
      <x:c r="S35" s="3" t="n">
        <x:v>13</x:v>
      </x:c>
      <x:c r="T35" s="3" t="n">
        <x:v>5</x:v>
      </x:c>
      <x:c r="U35" s="3" t="n">
        <x:v>4</x:v>
      </x:c>
      <x:c r="V35" s="3" t="n">
        <x:v>1</x:v>
      </x:c>
      <x:c r="W35" s="3" t="n">
        <x:v>0</x:v>
      </x:c>
      <x:c r="X35" s="3" t="n">
        <x:v>1</x:v>
      </x:c>
      <x:c r="Y35" s="3" t="n">
        <x:v>0</x:v>
      </x:c>
    </x:row>
    <x:row r="36">
      <x:c r="A36" s="3" t="n">
        <x:v>10000936</x:v>
      </x:c>
      <x:c r="B36" s="6" t="n">
        <x:v>45315</x:v>
      </x:c>
      <x:c r="C36" s="5" t="n">
        <x:v>57120.1</x:v>
      </x:c>
      <x:c r="D36" s="5" t="n">
        <x:v>18951.1</x:v>
      </x:c>
      <x:c r="E36" s="3" t="n">
        <x:v>16942</x:v>
      </x:c>
      <x:c r="F36" s="3" t="n">
        <x:v>14862</x:v>
      </x:c>
      <x:c r="G36" s="3" t="n">
        <x:v>6365</x:v>
      </x:c>
      <x:c r="H36" s="3" t="n"/>
      <x:c r="I36" s="3" t="n">
        <x:v>168268</x:v>
      </x:c>
      <x:c r="J36" s="5" t="n">
        <x:v>0.007690113390543657</x:v>
      </x:c>
      <x:c r="K36" s="5" t="n">
        <x:v>0.08422278745810255</x:v>
      </x:c>
      <x:c r="L36" s="5" t="n">
        <x:v>0.2486271899588751</x:v>
      </x:c>
      <x:c r="M36" s="5" t="n">
        <x:v>0.452331994199729</x:v>
      </x:c>
      <x:c r="N36" s="5" t="n">
        <x:v>0.133727149547151</x:v>
      </x:c>
      <x:c r="O36" s="5" t="n">
        <x:v>0.07340076544559869</x:v>
      </x:c>
      <x:c r="P36" s="3" t="n">
        <x:v>32</x:v>
      </x:c>
      <x:c r="Q36" s="3" t="n">
        <x:v>4</x:v>
      </x:c>
      <x:c r="R36" s="3" t="n">
        <x:v>2</x:v>
      </x:c>
      <x:c r="S36" s="3" t="n">
        <x:v>14</x:v>
      </x:c>
      <x:c r="T36" s="3" t="n">
        <x:v>1</x:v>
      </x:c>
      <x:c r="U36" s="3" t="n">
        <x:v>4</x:v>
      </x:c>
      <x:c r="V36" s="3" t="n">
        <x:v>7</x:v>
      </x:c>
      <x:c r="W36" s="3" t="n">
        <x:v>0</x:v>
      </x:c>
      <x:c r="X36" s="3" t="n">
        <x:v>0</x:v>
      </x:c>
      <x:c r="Y36" s="3" t="n">
        <x:v>0</x:v>
      </x:c>
    </x:row>
    <x:row r="37">
      <x:c r="A37" s="3" t="n">
        <x:v>10000957</x:v>
      </x:c>
      <x:c r="B37" s="6" t="n">
        <x:v>45355</x:v>
      </x:c>
      <x:c r="C37" s="5" t="n">
        <x:v>84486.59999999989</x:v>
      </x:c>
      <x:c r="D37" s="5" t="n">
        <x:v>52675.3</x:v>
      </x:c>
      <x:c r="E37" s="5" t="n">
        <x:v>25827.3999999999</x:v>
      </x:c>
      <x:c r="F37" s="5" t="n">
        <x:v>5773.9</x:v>
      </x:c>
      <x:c r="G37" s="3" t="n">
        <x:v>210</x:v>
      </x:c>
      <x:c r="H37" s="3" t="n"/>
      <x:c r="I37" s="3" t="n">
        <x:v>210436</x:v>
      </x:c>
      <x:c r="J37" s="5" t="n">
        <x:v>0.004428899998099185</x:v>
      </x:c>
      <x:c r="K37" s="5" t="n">
        <x:v>0.05392613431161968</x:v>
      </x:c>
      <x:c r="L37" s="5" t="n">
        <x:v>0.1846594689121633</x:v>
      </x:c>
      <x:c r="M37" s="5" t="n">
        <x:v>0.4425668611834477</x:v>
      </x:c>
      <x:c r="N37" s="5" t="n">
        <x:v>0.1943821399380334</x:v>
      </x:c>
      <x:c r="O37" s="5" t="n">
        <x:v>0.1200364956566367</x:v>
      </x:c>
      <x:c r="P37" s="3" t="n">
        <x:v>50</x:v>
      </x:c>
      <x:c r="Q37" s="3" t="n">
        <x:v>7</x:v>
      </x:c>
      <x:c r="R37" s="3" t="n">
        <x:v>3</x:v>
      </x:c>
      <x:c r="S37" s="3" t="n">
        <x:v>24</x:v>
      </x:c>
      <x:c r="T37" s="3" t="n">
        <x:v>6</x:v>
      </x:c>
      <x:c r="U37" s="3" t="n">
        <x:v>6</x:v>
      </x:c>
      <x:c r="V37" s="3" t="n">
        <x:v>4</x:v>
      </x:c>
      <x:c r="W37" s="3" t="n">
        <x:v>0</x:v>
      </x:c>
      <x:c r="X37" s="3" t="n">
        <x:v>2</x:v>
      </x:c>
      <x:c r="Y37" s="3" t="n">
        <x:v>0</x:v>
      </x:c>
    </x:row>
    <x:row r="38">
      <x:c r="A38" s="3" t="n">
        <x:v>10000972</x:v>
      </x:c>
      <x:c r="B38" s="6" t="n">
        <x:v>45438</x:v>
      </x:c>
      <x:c r="C38" s="5" t="n">
        <x:v>65613.10000000001</x:v>
      </x:c>
      <x:c r="D38" s="5" t="n">
        <x:v>31105.7</x:v>
      </x:c>
      <x:c r="E38" s="5" t="n">
        <x:v>21191.4</x:v>
      </x:c>
      <x:c r="F38" s="3" t="n">
        <x:v>13120</x:v>
      </x:c>
      <x:c r="G38" s="3" t="n">
        <x:v>196</x:v>
      </x:c>
      <x:c r="H38" s="3" t="n"/>
      <x:c r="I38" s="3" t="n">
        <x:v>230148</x:v>
      </x:c>
      <x:c r="J38" s="5" t="n">
        <x:v>0.003098006500165111</x:v>
      </x:c>
      <x:c r="K38" s="5" t="n">
        <x:v>0.0276952222048421</x:v>
      </x:c>
      <x:c r="L38" s="5" t="n">
        <x:v>0.1208179084762848</x:v>
      </x:c>
      <x:c r="M38" s="5" t="n">
        <x:v>0.4552722595894815</x:v>
      </x:c>
      <x:c r="N38" s="5" t="n">
        <x:v>0.3080452578340894</x:v>
      </x:c>
      <x:c r="O38" s="5" t="n">
        <x:v>0.08507134539513704</x:v>
      </x:c>
      <x:c r="P38" s="3" t="n">
        <x:v>49</x:v>
      </x:c>
      <x:c r="Q38" s="3" t="n">
        <x:v>6</x:v>
      </x:c>
      <x:c r="R38" s="3" t="n">
        <x:v>2</x:v>
      </x:c>
      <x:c r="S38" s="3" t="n">
        <x:v>28</x:v>
      </x:c>
      <x:c r="T38" s="3" t="n">
        <x:v>5</x:v>
      </x:c>
      <x:c r="U38" s="3" t="n">
        <x:v>6</x:v>
      </x:c>
      <x:c r="V38" s="3" t="n">
        <x:v>2</x:v>
      </x:c>
      <x:c r="W38" s="3" t="n">
        <x:v>0</x:v>
      </x:c>
      <x:c r="X38" s="3" t="n">
        <x:v>0</x:v>
      </x:c>
      <x:c r="Y38" s="3" t="n">
        <x:v>0</x:v>
      </x:c>
    </x:row>
    <x:row r="39">
      <x:c r="A39" s="3" t="n">
        <x:v>10000990</x:v>
      </x:c>
      <x:c r="B39" s="6" t="n">
        <x:v>45467</x:v>
      </x:c>
      <x:c r="C39" s="5" t="n">
        <x:v>29427.6</x:v>
      </x:c>
      <x:c r="D39" s="5" t="n">
        <x:v>21291.1</x:v>
      </x:c>
      <x:c r="E39" s="5" t="n">
        <x:v>8136.5</x:v>
      </x:c>
      <x:c r="F39" s="3" t="n"/>
      <x:c r="G39" s="3" t="n"/>
      <x:c r="H39" s="3" t="n"/>
      <x:c r="I39" s="3" t="n">
        <x:v>143375</x:v>
      </x:c>
      <x:c r="J39" s="5" t="n">
        <x:v>0.004136006974716652</x:v>
      </x:c>
      <x:c r="K39" s="5" t="n">
        <x:v>0.05175239755884917</x:v>
      </x:c>
      <x:c r="L39" s="5" t="n">
        <x:v>0.187745422842197</x:v>
      </x:c>
      <x:c r="M39" s="5" t="n">
        <x:v>0.4652275501307759</x:v>
      </x:c>
      <x:c r="N39" s="5" t="n">
        <x:v>0.2124289450741064</x:v>
      </x:c>
      <x:c r="O39" s="5" t="n">
        <x:v>0.07870967741935483</x:v>
      </x:c>
      <x:c r="P39" s="3" t="n">
        <x:v>40</x:v>
      </x:c>
      <x:c r="Q39" s="3" t="n">
        <x:v>4</x:v>
      </x:c>
      <x:c r="R39" s="3" t="n">
        <x:v>3</x:v>
      </x:c>
      <x:c r="S39" s="3" t="n">
        <x:v>21</x:v>
      </x:c>
      <x:c r="T39" s="3" t="n">
        <x:v>3</x:v>
      </x:c>
      <x:c r="U39" s="3" t="n">
        <x:v>5</x:v>
      </x:c>
      <x:c r="V39" s="3" t="n">
        <x:v>4</x:v>
      </x:c>
      <x:c r="W39" s="3" t="n">
        <x:v>1</x:v>
      </x:c>
      <x:c r="X39" s="3" t="n">
        <x:v>2</x:v>
      </x:c>
      <x:c r="Y39" s="3" t="n">
        <x:v>1</x:v>
      </x:c>
    </x:row>
    <x:row r="40">
      <x:c r="A40" s="3" t="n">
        <x:v>10001038</x:v>
      </x:c>
      <x:c r="B40" s="6" t="n">
        <x:v>45592</x:v>
      </x:c>
      <x:c r="C40" s="5" t="n">
        <x:v>50905.2</x:v>
      </x:c>
      <x:c r="D40" s="3" t="n">
        <x:v>7078</x:v>
      </x:c>
      <x:c r="E40" s="5" t="n">
        <x:v>27908.1</x:v>
      </x:c>
      <x:c r="F40" s="5" t="n">
        <x:v>10362.1</x:v>
      </x:c>
      <x:c r="G40" s="3" t="n">
        <x:v>5557</x:v>
      </x:c>
      <x:c r="H40" s="3" t="n"/>
      <x:c r="I40" s="3" t="n">
        <x:v>156202</x:v>
      </x:c>
      <x:c r="J40" s="5" t="n">
        <x:v>0.01043520569518956</x:v>
      </x:c>
      <x:c r="K40" s="5" t="n">
        <x:v>0.09213070255182391</x:v>
      </x:c>
      <x:c r="L40" s="5" t="n">
        <x:v>0.2493566023482414</x:v>
      </x:c>
      <x:c r="M40" s="5" t="n">
        <x:v>0.4329714088167885</x:v>
      </x:c>
      <x:c r="N40" s="5" t="n">
        <x:v>0.1391595498137028</x:v>
      </x:c>
      <x:c r="O40" s="5" t="n">
        <x:v>0.07594653077425385</x:v>
      </x:c>
      <x:c r="P40" s="3" t="n">
        <x:v>36</x:v>
      </x:c>
      <x:c r="Q40" s="3" t="n">
        <x:v>4</x:v>
      </x:c>
      <x:c r="R40" s="3" t="n">
        <x:v>4</x:v>
      </x:c>
      <x:c r="S40" s="3" t="n">
        <x:v>14</x:v>
      </x:c>
      <x:c r="T40" s="3" t="n">
        <x:v>4</x:v>
      </x:c>
      <x:c r="U40" s="3" t="n">
        <x:v>8</x:v>
      </x:c>
      <x:c r="V40" s="3" t="n">
        <x:v>2</x:v>
      </x:c>
      <x:c r="W40" s="3" t="n">
        <x:v>1</x:v>
      </x:c>
      <x:c r="X40" s="3" t="n">
        <x:v>3</x:v>
      </x:c>
      <x:c r="Y40" s="3" t="n">
        <x:v>0</x:v>
      </x:c>
    </x:row>
    <x:row r="41">
      <x:c r="A41" s="3" t="n">
        <x:v>10001088</x:v>
      </x:c>
      <x:c r="B41" s="6" t="n">
        <x:v>45656</x:v>
      </x:c>
      <x:c r="C41" s="5" t="n">
        <x:v>35268.6</x:v>
      </x:c>
      <x:c r="D41" s="5" t="n">
        <x:v>19425.7</x:v>
      </x:c>
      <x:c r="E41" s="3" t="n">
        <x:v>6599</x:v>
      </x:c>
      <x:c r="F41" s="5" t="n">
        <x:v>6531.9</x:v>
      </x:c>
      <x:c r="G41" s="3" t="n">
        <x:v>2712</x:v>
      </x:c>
      <x:c r="H41" s="3" t="n"/>
      <x:c r="I41" s="3" t="n">
        <x:v>133786</x:v>
      </x:c>
      <x:c r="J41" s="5" t="n">
        <x:v>0.008954599135933506</x:v>
      </x:c>
      <x:c r="K41" s="5" t="n">
        <x:v>0.05430314083685887</x:v>
      </x:c>
      <x:c r="L41" s="5" t="n">
        <x:v>0.1994229590540116</x:v>
      </x:c>
      <x:c r="M41" s="5" t="n">
        <x:v>0.4949097812925119</x:v>
      </x:c>
      <x:c r="N41" s="5" t="n">
        <x:v>0.1747342771291465</x:v>
      </x:c>
      <x:c r="O41" s="5" t="n">
        <x:v>0.06767524255153753</x:v>
      </x:c>
      <x:c r="P41" s="3" t="n">
        <x:v>14</x:v>
      </x:c>
      <x:c r="Q41" s="3" t="n">
        <x:v>1</x:v>
      </x:c>
      <x:c r="R41" s="3" t="n">
        <x:v>0</x:v>
      </x:c>
      <x:c r="S41" s="3" t="n">
        <x:v>6</x:v>
      </x:c>
      <x:c r="T41" s="3" t="n">
        <x:v>3</x:v>
      </x:c>
      <x:c r="U41" s="3" t="n">
        <x:v>2</x:v>
      </x:c>
      <x:c r="V41" s="3" t="n">
        <x:v>2</x:v>
      </x:c>
      <x:c r="W41" s="3" t="n">
        <x:v>0</x:v>
      </x:c>
      <x:c r="X41" s="3" t="n">
        <x:v>1</x:v>
      </x:c>
      <x:c r="Y41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19" customWidth="1"/>
    <x:col min="16" max="16" width="19" customWidth="1"/>
    <x:col min="17" max="17" width="19" customWidth="1"/>
    <x:col min="18" max="18" width="19" customWidth="1"/>
    <x:col min="19" max="19" width="19" customWidth="1"/>
    <x:col min="20" max="20" width="19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1" customWidth="1"/>
    <x:col min="26" max="26" width="22" customWidth="1"/>
    <x:col min="27" max="27" width="23" customWidth="1"/>
    <x:col min="28" max="28" width="23" customWidth="1"/>
    <x:col min="29" max="29" width="19" customWidth="1"/>
    <x:col min="30" max="30" width="21" customWidth="1"/>
    <x:col min="31" max="31" width="21" customWidth="1"/>
    <x:col min="32" max="32" width="21" customWidth="1"/>
    <x:col min="33" max="33" width="21" customWidth="1"/>
    <x:col min="34" max="34" width="21" customWidth="1"/>
    <x:col min="35" max="35" width="21" customWidth="1"/>
    <x:col min="36" max="36" width="22" customWidth="1"/>
    <x:col min="37" max="37" width="22" customWidth="1"/>
    <x:col min="38" max="38" width="23" customWidth="1"/>
    <x:col min="39" max="39" width="23" customWidth="1"/>
    <x:col min="40" max="40" width="22" customWidth="1"/>
  </x:cols>
  <x:sheetData>
    <x:row r="1">
      <x:c r="A1" s="4" t="inlineStr">
        <x:is>
          <x:t xml:space="preserve">站点ID</x:t>
        </x:is>
      </x:c>
      <x:c r="B1" s="4" t="inlineStr">
        <x:is>
          <x:t xml:space="preserve">开站月份</x:t>
        </x:is>
      </x:c>
      <x:c r="C1" s="4" t="inlineStr">
        <x:is>
          <x:t xml:space="preserve">M12_日均单量</x:t>
        </x:is>
      </x:c>
      <x:c r="D1" s="4" t="inlineStr">
        <x:is>
          <x:t xml:space="preserve">轨迹_M0_日均单量</x:t>
        </x:is>
      </x:c>
      <x:c r="E1" s="4" t="inlineStr">
        <x:is>
          <x:t xml:space="preserve">轨迹_M1_日均单量</x:t>
        </x:is>
      </x:c>
      <x:c r="F1" s="4" t="inlineStr">
        <x:is>
          <x:t xml:space="preserve">轨迹_M2_日均单量</x:t>
        </x:is>
      </x:c>
      <x:c r="G1" s="4" t="inlineStr">
        <x:is>
          <x:t xml:space="preserve">轨迹_M3_日均单量</x:t>
        </x:is>
      </x:c>
      <x:c r="H1" s="4" t="inlineStr">
        <x:is>
          <x:t xml:space="preserve">轨迹_M4_日均单量</x:t>
        </x:is>
      </x:c>
      <x:c r="I1" s="4" t="inlineStr">
        <x:is>
          <x:t xml:space="preserve">轨迹_M5_日均单量</x:t>
        </x:is>
      </x:c>
      <x:c r="J1" s="4" t="inlineStr">
        <x:is>
          <x:t xml:space="preserve">轨迹_M6_日均单量</x:t>
        </x:is>
      </x:c>
      <x:c r="K1" s="4" t="inlineStr">
        <x:is>
          <x:t xml:space="preserve">轨迹_M7_日均单量</x:t>
        </x:is>
      </x:c>
      <x:c r="L1" s="4" t="inlineStr">
        <x:is>
          <x:t xml:space="preserve">轨迹_M8_日均单量</x:t>
        </x:is>
      </x:c>
      <x:c r="M1" s="4" t="inlineStr">
        <x:is>
          <x:t xml:space="preserve">轨迹_M9_日均单量</x:t>
        </x:is>
      </x:c>
      <x:c r="N1" s="4" t="inlineStr">
        <x:is>
          <x:t xml:space="preserve">轨迹_M10_日均单量</x:t>
        </x:is>
      </x:c>
      <x:c r="O1" s="4" t="inlineStr">
        <x:is>
          <x:t xml:space="preserve">轨迹_M11_日均单量</x:t>
        </x:is>
      </x:c>
      <x:c r="P1" s="4" t="inlineStr">
        <x:is>
          <x:t xml:space="preserve">轨迹_M12_日均单量</x:t>
        </x:is>
      </x:c>
      <x:c r="Q1" s="4" t="inlineStr">
        <x:is>
          <x:t xml:space="preserve">M12_活跃度订单量_L5</x:t>
        </x:is>
      </x:c>
      <x:c r="R1" s="4" t="inlineStr">
        <x:is>
          <x:t xml:space="preserve">M12_活跃度订单量_L4</x:t>
        </x:is>
      </x:c>
      <x:c r="S1" s="4" t="inlineStr">
        <x:is>
          <x:t xml:space="preserve">M12_活跃度订单量_L3</x:t>
        </x:is>
      </x:c>
      <x:c r="T1" s="4" t="inlineStr">
        <x:is>
          <x:t xml:space="preserve">M12_活跃度订单量_L2</x:t>
        </x:is>
      </x:c>
      <x:c r="U1" s="4" t="inlineStr">
        <x:is>
          <x:t xml:space="preserve">M12_活跃度订单量_L1</x:t>
        </x:is>
      </x:c>
      <x:c r="V1" s="4" t="inlineStr">
        <x:is>
          <x:t xml:space="preserve">M12_活跃度订单量_精致度缺失</x:t>
        </x:is>
      </x:c>
      <x:c r="W1" s="4" t="inlineStr">
        <x:is>
          <x:t xml:space="preserve">M12_活跃度订单占比_L5</x:t>
        </x:is>
      </x:c>
      <x:c r="X1" s="4" t="inlineStr">
        <x:is>
          <x:t xml:space="preserve">M12_活跃度订单占比_L4</x:t>
        </x:is>
      </x:c>
      <x:c r="Y1" s="4" t="inlineStr">
        <x:is>
          <x:t xml:space="preserve">M12_活跃度订单占比_L3</x:t>
        </x:is>
      </x:c>
      <x:c r="Z1" s="4" t="inlineStr">
        <x:is>
          <x:t xml:space="preserve">M12_活跃度订单占比_L2</x:t>
        </x:is>
      </x:c>
      <x:c r="AA1" s="4" t="inlineStr">
        <x:is>
          <x:t xml:space="preserve">M12_活跃度订单占比_L1</x:t>
        </x:is>
      </x:c>
      <x:c r="AB1" s="4" t="inlineStr">
        <x:is>
          <x:t xml:space="preserve">M12_活跃度订单占比_精致度缺失</x:t>
        </x:is>
      </x:c>
      <x:c r="AC1" s="4" t="inlineStr">
        <x:is>
          <x:t xml:space="preserve">M12_距离订单量_0~1.5km</x:t>
        </x:is>
      </x:c>
      <x:c r="AD1" s="4" t="inlineStr">
        <x:is>
          <x:t xml:space="preserve">M12_距离订单量_1.5~2.1km</x:t>
        </x:is>
      </x:c>
      <x:c r="AE1" s="4" t="inlineStr">
        <x:is>
          <x:t xml:space="preserve">M12_距离订单量_2.1~2.8km</x:t>
        </x:is>
      </x:c>
      <x:c r="AF1" s="4" t="inlineStr">
        <x:is>
          <x:t xml:space="preserve">M12_距离订单量_2.8~3.8km</x:t>
        </x:is>
      </x:c>
      <x:c r="AG1" s="4" t="inlineStr">
        <x:is>
          <x:t xml:space="preserve">M12_距离订单量_3.8km+</x:t>
        </x:is>
      </x:c>
      <x:c r="AH1" s="4" t="inlineStr">
        <x:is>
          <x:t xml:space="preserve">M12_距离订单量_自提或定位信息缺失</x:t>
        </x:is>
      </x:c>
      <x:c r="AI1" s="4" t="inlineStr">
        <x:is>
          <x:t xml:space="preserve">M12_距离订单占比_0~1.5km</x:t>
        </x:is>
      </x:c>
      <x:c r="AJ1" s="4" t="inlineStr">
        <x:is>
          <x:t xml:space="preserve">M12_距离订单占比_1.5~2.1km</x:t>
        </x:is>
      </x:c>
      <x:c r="AK1" s="4" t="inlineStr">
        <x:is>
          <x:t xml:space="preserve">M12_距离订单占比_2.1~2.8km</x:t>
        </x:is>
      </x:c>
      <x:c r="AL1" s="4" t="inlineStr">
        <x:is>
          <x:t xml:space="preserve">M12_距离订单占比_2.8~3.8km</x:t>
        </x:is>
      </x:c>
      <x:c r="AM1" s="4" t="inlineStr">
        <x:is>
          <x:t xml:space="preserve">M12_距离订单占比_3.8km+</x:t>
        </x:is>
      </x:c>
      <x:c r="AN1" s="4" t="inlineStr">
        <x:is>
          <x:t xml:space="preserve">M12_距离订单占比_自提或定位信息缺失</x:t>
        </x:is>
      </x:c>
    </x:row>
    <x:row r="2">
      <x:c r="A2" s="3" t="n">
        <x:v>10000688</x:v>
      </x:c>
      <x:c r="B2" s="3" t="n">
        <x:v>202304</x:v>
      </x:c>
      <x:c r="C2" s="5" t="n">
        <x:v>1492.766666666667</x:v>
      </x:c>
      <x:c r="D2" s="5" t="n">
        <x:v>1612.2</x:v>
      </x:c>
      <x:c r="E2" s="5" t="n">
        <x:v>1511.966666666667</x:v>
      </x:c>
      <x:c r="F2" s="5" t="n">
        <x:v>1471.666666666667</x:v>
      </x:c>
      <x:c r="G2" s="5" t="n">
        <x:v>1524.9</x:v>
      </x:c>
      <x:c r="H2" s="5" t="n">
        <x:v>1529.466666666667</x:v>
      </x:c>
      <x:c r="I2" s="5" t="n">
        <x:v>1315.066666666667</x:v>
      </x:c>
      <x:c r="J2" s="5" t="n">
        <x:v>1343.933333333333</x:v>
      </x:c>
      <x:c r="K2" s="5" t="n">
        <x:v>1403.533333333333</x:v>
      </x:c>
      <x:c r="L2" s="5" t="n">
        <x:v>1366.333333333333</x:v>
      </x:c>
      <x:c r="M2" s="5" t="n">
        <x:v>1108.333333333333</x:v>
      </x:c>
      <x:c r="N2" s="5" t="n">
        <x:v>1394.266666666667</x:v>
      </x:c>
      <x:c r="O2" s="5" t="n">
        <x:v>1469.866666666667</x:v>
      </x:c>
      <x:c r="P2" s="5" t="n">
        <x:v>1492.766666666667</x:v>
      </x:c>
      <x:c r="Q2" s="5" t="n">
        <x:v>550.9333333333333</x:v>
      </x:c>
      <x:c r="R2" s="5" t="n">
        <x:v>743.6333333333333</x:v>
      </x:c>
      <x:c r="S2" s="5" t="n">
        <x:v>152.4</x:v>
      </x:c>
      <x:c r="T2" s="5" t="n">
        <x:v>33.1</x:v>
      </x:c>
      <x:c r="U2" s="3" t="n">
        <x:v>3</x:v>
      </x:c>
      <x:c r="V2" s="5" t="n">
        <x:v>9.699999999999999</x:v>
      </x:c>
      <x:c r="W2" s="5" t="n">
        <x:v>0.3690686197887591</x:v>
      </x:c>
      <x:c r="X2" s="5" t="n">
        <x:v>0.4981577830873323</x:v>
      </x:c>
      <x:c r="Y2" s="5" t="n">
        <x:v>0.1020923118147511</x:v>
      </x:c>
      <x:c r="Z2" s="5" t="n">
        <x:v>0.02217359265792823</x:v>
      </x:c>
      <x:c r="AA2" s="5" t="n">
        <x:v>0.002009691177455731</x:v>
      </x:c>
      <x:c r="AB2" s="5" t="n">
        <x:v>0.00649800147377353</x:v>
      </x:c>
      <x:c r="AC2" s="5" t="n">
        <x:v>759.1333333333333</x:v>
      </x:c>
      <x:c r="AD2" s="5" t="n">
        <x:v>432.8</x:v>
      </x:c>
      <x:c r="AE2" s="3" t="n">
        <x:v>288</x:v>
      </x:c>
      <x:c r="AF2" s="5" t="n">
        <x:v>0.9</x:v>
      </x:c>
      <x:c r="AG2" s="3" t="n">
        <x:v>0</x:v>
      </x:c>
      <x:c r="AH2" s="5" t="n">
        <x:v>11.93333333333333</x:v>
      </x:c>
      <x:c r="AI2" s="5" t="n">
        <x:v>0.5085411875041869</x:v>
      </x:c>
      <x:c r="AJ2" s="5" t="n">
        <x:v>0.2899314472009468</x:v>
      </x:c>
      <x:c r="AK2" s="5" t="n">
        <x:v>0.1929303530357502</x:v>
      </x:c>
      <x:c r="AL2" s="5" t="n">
        <x:v>0.0006029073532367194</x:v>
      </x:c>
      <x:c r="AM2" s="3" t="n">
        <x:v>0</x:v>
      </x:c>
      <x:c r="AN2" s="5" t="n">
        <x:v>0.007994104905879464</x:v>
      </x:c>
    </x:row>
    <x:row r="3">
      <x:c r="A3" s="3" t="n">
        <x:v>10000691</x:v>
      </x:c>
      <x:c r="B3" s="3" t="n">
        <x:v>202304</x:v>
      </x:c>
      <x:c r="C3" s="5" t="n">
        <x:v>1149.3</x:v>
      </x:c>
      <x:c r="D3" s="5" t="n">
        <x:v>1627.1</x:v>
      </x:c>
      <x:c r="E3" s="5" t="n">
        <x:v>1063.8</x:v>
      </x:c>
      <x:c r="F3" s="5" t="n">
        <x:v>1158.766666666667</x:v>
      </x:c>
      <x:c r="G3" s="5" t="n">
        <x:v>1242.866666666667</x:v>
      </x:c>
      <x:c r="H3" s="5" t="n">
        <x:v>1228.433333333333</x:v>
      </x:c>
      <x:c r="I3" s="3" t="n">
        <x:v>1047</x:v>
      </x:c>
      <x:c r="J3" s="5" t="n">
        <x:v>1086.1</x:v>
      </x:c>
      <x:c r="K3" s="5" t="n">
        <x:v>1165.266666666667</x:v>
      </x:c>
      <x:c r="L3" s="5" t="n">
        <x:v>1099.433333333333</x:v>
      </x:c>
      <x:c r="M3" s="5" t="n">
        <x:v>946.2</x:v>
      </x:c>
      <x:c r="N3" s="5" t="n">
        <x:v>1110.7</x:v>
      </x:c>
      <x:c r="O3" s="5" t="n">
        <x:v>1176.566666666667</x:v>
      </x:c>
      <x:c r="P3" s="5" t="n">
        <x:v>1149.3</x:v>
      </x:c>
      <x:c r="Q3" s="5" t="n">
        <x:v>502.6</x:v>
      </x:c>
      <x:c r="R3" s="5" t="n">
        <x:v>541.2333333333333</x:v>
      </x:c>
      <x:c r="S3" s="5" t="n">
        <x:v>83.33333333333333</x:v>
      </x:c>
      <x:c r="T3" s="5" t="n">
        <x:v>13.63333333333333</x:v>
      </x:c>
      <x:c r="U3" s="5" t="n">
        <x:v>1.033333333333333</x:v>
      </x:c>
      <x:c r="V3" s="5" t="n">
        <x:v>7.466666666666667</x:v>
      </x:c>
      <x:c r="W3" s="5" t="n">
        <x:v>0.4373096667536762</x:v>
      </x:c>
      <x:c r="X3" s="5" t="n">
        <x:v>0.470924330752052</x:v>
      </x:c>
      <x:c r="Y3" s="5" t="n">
        <x:v>0.0725079033614664</x:v>
      </x:c>
      <x:c r="Z3" s="5" t="n">
        <x:v>0.0118622929899359</x:v>
      </x:c>
      <x:c r="AA3" s="5" t="n">
        <x:v>0.0008990980016821834</x:v>
      </x:c>
      <x:c r="AB3" s="5" t="n">
        <x:v>0.006496708141187389</x:v>
      </x:c>
      <x:c r="AC3" s="5" t="n">
        <x:v>663.0333333333333</x:v>
      </x:c>
      <x:c r="AD3" s="5" t="n">
        <x:v>400.7</x:v>
      </x:c>
      <x:c r="AE3" s="5" t="n">
        <x:v>65.76666666666667</x:v>
      </x:c>
      <x:c r="AF3" s="5" t="n">
        <x:v>0.03333333333333333</x:v>
      </x:c>
      <x:c r="AG3" s="3" t="n">
        <x:v>0</x:v>
      </x:c>
      <x:c r="AH3" s="5" t="n">
        <x:v>19.76666666666667</x:v>
      </x:c>
      <x:c r="AI3" s="5" t="n">
        <x:v>0.5769018823051713</x:v>
      </x:c>
      <x:c r="AJ3" s="5" t="n">
        <x:v>0.348647002523275</x:v>
      </x:c>
      <x:c r="AK3" s="5" t="n">
        <x:v>0.05722323733286928</x:v>
      </x:c>
      <x:c r="AL3" s="5" t="n">
        <x:v>2.900316134458656e-05</x:v>
      </x:c>
      <x:c r="AM3" s="3" t="n">
        <x:v>0</x:v>
      </x:c>
      <x:c r="AN3" s="5" t="n">
        <x:v>0.01719887467733983</x:v>
      </x:c>
    </x:row>
    <x:row r="4">
      <x:c r="A4" s="3" t="n">
        <x:v>10000692</x:v>
      </x:c>
      <x:c r="B4" s="3" t="n">
        <x:v>202305</x:v>
      </x:c>
      <x:c r="C4" s="5" t="n">
        <x:v>1449.866666666667</x:v>
      </x:c>
      <x:c r="D4" s="5" t="n">
        <x:v>1582.6</x:v>
      </x:c>
      <x:c r="E4" s="5" t="n">
        <x:v>1232.166666666667</x:v>
      </x:c>
      <x:c r="F4" s="3" t="n">
        <x:v>1146</x:v>
      </x:c>
      <x:c r="G4" s="5" t="n">
        <x:v>1167.5</x:v>
      </x:c>
      <x:c r="H4" s="5" t="n">
        <x:v>1160.466666666667</x:v>
      </x:c>
      <x:c r="I4" s="5" t="n">
        <x:v>1044.033333333333</x:v>
      </x:c>
      <x:c r="J4" s="5" t="n">
        <x:v>1172.633333333333</x:v>
      </x:c>
      <x:c r="K4" s="5" t="n">
        <x:v>1280.9</x:v>
      </x:c>
      <x:c r="L4" s="5" t="n">
        <x:v>1168.466666666667</x:v>
      </x:c>
      <x:c r="M4" s="5" t="n">
        <x:v>1171.966666666667</x:v>
      </x:c>
      <x:c r="N4" s="5" t="n">
        <x:v>1321.433333333333</x:v>
      </x:c>
      <x:c r="O4" s="5" t="n">
        <x:v>1391.833333333333</x:v>
      </x:c>
      <x:c r="P4" s="5" t="n">
        <x:v>1449.866666666667</x:v>
      </x:c>
      <x:c r="Q4" s="5" t="n">
        <x:v>652.7333333333333</x:v>
      </x:c>
      <x:c r="R4" s="5" t="n">
        <x:v>659.4333333333333</x:v>
      </x:c>
      <x:c r="S4" s="5" t="n">
        <x:v>103.4</x:v>
      </x:c>
      <x:c r="T4" s="5" t="n">
        <x:v>20.4</x:v>
      </x:c>
      <x:c r="U4" s="5" t="n">
        <x:v>2.766666666666667</x:v>
      </x:c>
      <x:c r="V4" s="5" t="n">
        <x:v>11.13333333333333</x:v>
      </x:c>
      <x:c r="W4" s="5" t="n">
        <x:v>0.4502023174544786</x:v>
      </x:c>
      <x:c r="X4" s="5" t="n">
        <x:v>0.4548234320397278</x:v>
      </x:c>
      <x:c r="Y4" s="5" t="n">
        <x:v>0.07131690270369689</x:v>
      </x:c>
      <x:c r="Z4" s="5" t="n">
        <x:v>0.01407025933419165</x:v>
      </x:c>
      <x:c r="AA4" s="5" t="n">
        <x:v>0.001908221445650175</x:v>
      </x:c>
      <x:c r="AB4" s="5" t="n">
        <x:v>0.00767886702225492</x:v>
      </x:c>
      <x:c r="AC4" s="5" t="n">
        <x:v>408.2333333333333</x:v>
      </x:c>
      <x:c r="AD4" s="5" t="n">
        <x:v>588.1333333333333</x:v>
      </x:c>
      <x:c r="AE4" s="5" t="n">
        <x:v>318.4666666666666</x:v>
      </x:c>
      <x:c r="AF4" s="5" t="n">
        <x:v>109.0666666666667</x:v>
      </x:c>
      <x:c r="AG4" s="3" t="n">
        <x:v>0</x:v>
      </x:c>
      <x:c r="AH4" s="5" t="n">
        <x:v>25.96666666666667</x:v>
      </x:c>
      <x:c r="AI4" s="5" t="n">
        <x:v>0.2815661210226228</x:v>
      </x:c>
      <x:c r="AJ4" s="5" t="n">
        <x:v>0.4056464962295384</x:v>
      </x:c>
      <x:c r="AK4" s="5" t="n">
        <x:v>0.2196523818282141</x:v>
      </x:c>
      <x:c r="AL4" s="5" t="n">
        <x:v>0.07522530807430569</x:v>
      </x:c>
      <x:c r="AM4" s="3" t="n">
        <x:v>0</x:v>
      </x:c>
      <x:c r="AN4" s="5" t="n">
        <x:v>0.01790969284531911</x:v>
      </x:c>
    </x:row>
    <x:row r="5">
      <x:c r="A5" s="3" t="n">
        <x:v>10000693</x:v>
      </x:c>
      <x:c r="B5" s="3" t="n">
        <x:v>202305</x:v>
      </x:c>
      <x:c r="C5" s="5" t="n">
        <x:v>1339.5</x:v>
      </x:c>
      <x:c r="D5" s="5" t="n">
        <x:v>1852.333333333333</x:v>
      </x:c>
      <x:c r="E5" s="5" t="n">
        <x:v>1372.766666666667</x:v>
      </x:c>
      <x:c r="F5" s="5" t="n">
        <x:v>1437.666666666667</x:v>
      </x:c>
      <x:c r="G5" s="5" t="n">
        <x:v>1379.466666666667</x:v>
      </x:c>
      <x:c r="H5" s="5" t="n">
        <x:v>1220.5</x:v>
      </x:c>
      <x:c r="I5" s="5" t="n">
        <x:v>1290.866666666667</x:v>
      </x:c>
      <x:c r="J5" s="5" t="n">
        <x:v>1253.766666666667</x:v>
      </x:c>
      <x:c r="K5" s="5" t="n">
        <x:v>1296.933333333333</x:v>
      </x:c>
      <x:c r="L5" s="5" t="n">
        <x:v>1095.7</x:v>
      </x:c>
      <x:c r="M5" s="5" t="n">
        <x:v>1252.7</x:v>
      </x:c>
      <x:c r="N5" s="5" t="n">
        <x:v>1401.533333333333</x:v>
      </x:c>
      <x:c r="O5" s="5" t="n">
        <x:v>1514.466666666667</x:v>
      </x:c>
      <x:c r="P5" s="5" t="n">
        <x:v>1339.5</x:v>
      </x:c>
      <x:c r="Q5" s="5" t="n">
        <x:v>402.2666666666667</x:v>
      </x:c>
      <x:c r="R5" s="5" t="n">
        <x:v>683.3666666666667</x:v>
      </x:c>
      <x:c r="S5" s="5" t="n">
        <x:v>199.2333333333333</x:v>
      </x:c>
      <x:c r="T5" s="5" t="n">
        <x:v>40.83333333333334</x:v>
      </x:c>
      <x:c r="U5" s="5" t="n">
        <x:v>3.2</x:v>
      </x:c>
      <x:c r="V5" s="5" t="n">
        <x:v>10.6</x:v>
      </x:c>
      <x:c r="W5" s="5" t="n">
        <x:v>0.3003110613412965</x:v>
      </x:c>
      <x:c r="X5" s="5" t="n">
        <x:v>0.5101654846335697</x:v>
      </x:c>
      <x:c r="Y5" s="5" t="n">
        <x:v>0.1487370909543362</x:v>
      </x:c>
      <x:c r="Z5" s="5" t="n">
        <x:v>0.03048401144705736</x:v>
      </x:c>
      <x:c r="AA5" s="5" t="n">
        <x:v>0.002388951101157148</x:v>
      </x:c>
      <x:c r="AB5" s="5" t="n">
        <x:v>0.007913400522583052</x:v>
      </x:c>
      <x:c r="AC5" s="5" t="n">
        <x:v>348.7666666666667</x:v>
      </x:c>
      <x:c r="AD5" s="5" t="n">
        <x:v>392.9333333333333</x:v>
      </x:c>
      <x:c r="AE5" s="5" t="n">
        <x:v>308.5</x:v>
      </x:c>
      <x:c r="AF5" s="5" t="n">
        <x:v>261.7</x:v>
      </x:c>
      <x:c r="AG5" s="3" t="n">
        <x:v>1</x:v>
      </x:c>
      <x:c r="AH5" s="5" t="n">
        <x:v>26.6</x:v>
      </x:c>
      <x:c r="AI5" s="5" t="n">
        <x:v>0.2603707851188254</x:v>
      </x:c>
      <x:c r="AJ5" s="5" t="n">
        <x:v>0.2933432872962548</x:v>
      </x:c>
      <x:c r="AK5" s="5" t="n">
        <x:v>0.2303098170959313</x:v>
      </x:c>
      <x:c r="AL5" s="5" t="n">
        <x:v>0.195371407241508</x:v>
      </x:c>
      <x:c r="AM5" s="5" t="n">
        <x:v>0.0007465472191116088</x:v>
      </x:c>
      <x:c r="AN5" s="5" t="n">
        <x:v>0.0198581560283688</x:v>
      </x:c>
    </x:row>
    <x:row r="6">
      <x:c r="A6" s="3" t="n">
        <x:v>10000694</x:v>
      </x:c>
      <x:c r="B6" s="3" t="n">
        <x:v>202305</x:v>
      </x:c>
      <x:c r="C6" s="5" t="n">
        <x:v>1337.933333333333</x:v>
      </x:c>
      <x:c r="D6" s="5" t="n">
        <x:v>1495.966666666667</x:v>
      </x:c>
      <x:c r="E6" s="5" t="n">
        <x:v>1112.233333333333</x:v>
      </x:c>
      <x:c r="F6" s="5" t="n">
        <x:v>1240.033333333333</x:v>
      </x:c>
      <x:c r="G6" s="5" t="n">
        <x:v>1331.733333333333</x:v>
      </x:c>
      <x:c r="H6" s="5" t="n">
        <x:v>1184.1</x:v>
      </x:c>
      <x:c r="I6" s="5" t="n">
        <x:v>1197.033333333333</x:v>
      </x:c>
      <x:c r="J6" s="5" t="n">
        <x:v>1105.066666666667</x:v>
      </x:c>
      <x:c r="K6" s="5" t="n">
        <x:v>1162.6</x:v>
      </x:c>
      <x:c r="L6" s="5" t="n">
        <x:v>992.4333333333333</x:v>
      </x:c>
      <x:c r="M6" s="5" t="n">
        <x:v>1108.6</x:v>
      </x:c>
      <x:c r="N6" s="5" t="n">
        <x:v>1244.933333333333</x:v>
      </x:c>
      <x:c r="O6" s="5" t="n">
        <x:v>1294.2</x:v>
      </x:c>
      <x:c r="P6" s="5" t="n">
        <x:v>1337.933333333333</x:v>
      </x:c>
      <x:c r="Q6" s="5" t="n">
        <x:v>526.2666666666667</x:v>
      </x:c>
      <x:c r="R6" s="5" t="n">
        <x:v>651.3</x:v>
      </x:c>
      <x:c r="S6" s="5" t="n">
        <x:v>128.7</x:v>
      </x:c>
      <x:c r="T6" s="5" t="n">
        <x:v>22.4</x:v>
      </x:c>
      <x:c r="U6" s="5" t="n">
        <x:v>1.5</x:v>
      </x:c>
      <x:c r="V6" s="5" t="n">
        <x:v>7.766666666666667</x:v>
      </x:c>
      <x:c r="W6" s="5" t="n">
        <x:v>0.3933429667646619</x:v>
      </x:c>
      <x:c r="X6" s="5" t="n">
        <x:v>0.4867955553340973</x:v>
      </x:c>
      <x:c r="Y6" s="5" t="n">
        <x:v>0.09619313368877372</x:v>
      </x:c>
      <x:c r="Z6" s="5" t="n">
        <x:v>0.01674223927450296</x:v>
      </x:c>
      <x:c r="AA6" s="5" t="n">
        <x:v>0.001121132094274752</x:v>
      </x:c>
      <x:c r="AB6" s="5" t="n">
        <x:v>0.005804972843689271</x:v>
      </x:c>
      <x:c r="AC6" s="5" t="n">
        <x:v>648.6333333333333</x:v>
      </x:c>
      <x:c r="AD6" s="5" t="n">
        <x:v>252.6333333333333</x:v>
      </x:c>
      <x:c r="AE6" s="5" t="n">
        <x:v>269.7666666666667</x:v>
      </x:c>
      <x:c r="AF6" s="5" t="n">
        <x:v>136.3333333333333</x:v>
      </x:c>
      <x:c r="AG6" s="5" t="n">
        <x:v>4.3</x:v>
      </x:c>
      <x:c r="AH6" s="5" t="n">
        <x:v>26.26666666666667</x:v>
      </x:c>
      <x:c r="AI6" s="5" t="n">
        <x:v>0.4848024316109422</x:v>
      </x:c>
      <x:c r="AJ6" s="5" t="n">
        <x:v>0.1888235587224077</x:v>
      </x:c>
      <x:c r="AK6" s="5" t="n">
        <x:v>0.2016293786436793</x:v>
      </x:c>
      <x:c r="AL6" s="5" t="n">
        <x:v>0.1018984503463052</x:v>
      </x:c>
      <x:c r="AM6" s="5" t="n">
        <x:v>0.003213912003587623</x:v>
      </x:c>
      <x:c r="AN6" s="5" t="n">
        <x:v>0.01963226867307788</x:v>
      </x:c>
    </x:row>
    <x:row r="7">
      <x:c r="A7" s="3" t="n">
        <x:v>10000695</x:v>
      </x:c>
      <x:c r="B7" s="3" t="n">
        <x:v>202305</x:v>
      </x:c>
      <x:c r="C7" s="5" t="n">
        <x:v>1842.066666666667</x:v>
      </x:c>
      <x:c r="D7" s="5" t="n">
        <x:v>1482.1</x:v>
      </x:c>
      <x:c r="E7" s="5" t="n">
        <x:v>1319.866666666667</x:v>
      </x:c>
      <x:c r="F7" s="5" t="n">
        <x:v>1417.366666666667</x:v>
      </x:c>
      <x:c r="G7" s="5" t="n">
        <x:v>1452.133333333333</x:v>
      </x:c>
      <x:c r="H7" s="5" t="n">
        <x:v>1336.666666666667</x:v>
      </x:c>
      <x:c r="I7" s="5" t="n">
        <x:v>1355.166666666667</x:v>
      </x:c>
      <x:c r="J7" s="5" t="n">
        <x:v>1353.366666666667</x:v>
      </x:c>
      <x:c r="K7" s="5" t="n">
        <x:v>1386.733333333333</x:v>
      </x:c>
      <x:c r="L7" s="5" t="n">
        <x:v>1395.766666666667</x:v>
      </x:c>
      <x:c r="M7" s="5" t="n">
        <x:v>1291.933333333333</x:v>
      </x:c>
      <x:c r="N7" s="5" t="n">
        <x:v>1550.933333333333</x:v>
      </x:c>
      <x:c r="O7" s="3" t="n">
        <x:v>1785</x:v>
      </x:c>
      <x:c r="P7" s="5" t="n">
        <x:v>1842.066666666667</x:v>
      </x:c>
      <x:c r="Q7" s="5" t="n">
        <x:v>735.0666666666667</x:v>
      </x:c>
      <x:c r="R7" s="5" t="n">
        <x:v>894.9</x:v>
      </x:c>
      <x:c r="S7" s="5" t="n">
        <x:v>166.4666666666667</x:v>
      </x:c>
      <x:c r="T7" s="3" t="n">
        <x:v>32</x:v>
      </x:c>
      <x:c r="U7" s="5" t="n">
        <x:v>1.9</x:v>
      </x:c>
      <x:c r="V7" s="5" t="n">
        <x:v>11.73333333333333</x:v>
      </x:c>
      <x:c r="W7" s="5" t="n">
        <x:v>0.3990445514096486</x:v>
      </x:c>
      <x:c r="X7" s="5" t="n">
        <x:v>0.4858130360826608</x:v>
      </x:c>
      <x:c r="Y7" s="5" t="n">
        <x:v>0.09036951250407152</x:v>
      </x:c>
      <x:c r="Z7" s="5" t="n">
        <x:v>0.01737179255184394</x:v>
      </x:c>
      <x:c r="AA7" s="5" t="n">
        <x:v>0.001031450182765734</x:v>
      </x:c>
      <x:c r="AB7" s="5" t="n">
        <x:v>0.006369657269009446</x:v>
      </x:c>
      <x:c r="AC7" s="5" t="n">
        <x:v>778.8666666666667</x:v>
      </x:c>
      <x:c r="AD7" s="5" t="n">
        <x:v>608.0333333333333</x:v>
      </x:c>
      <x:c r="AE7" s="5" t="n">
        <x:v>215.2</x:v>
      </x:c>
      <x:c r="AF7" s="5" t="n">
        <x:v>202.7666666666667</x:v>
      </x:c>
      <x:c r="AG7" s="5" t="n">
        <x:v>7.633333333333334</x:v>
      </x:c>
      <x:c r="AH7" s="5" t="n">
        <x:v>29.56666666666667</x:v>
      </x:c>
      <x:c r="AI7" s="5" t="n">
        <x:v>0.422822192464985</x:v>
      </x:c>
      <x:c r="AJ7" s="5" t="n">
        <x:v>0.3300821541022764</x:v>
      </x:c>
      <x:c r="AK7" s="5" t="n">
        <x:v>0.1168253049111505</x:v>
      </x:c>
      <x:c r="AL7" s="5" t="n">
        <x:v>0.1100756396800695</x:v>
      </x:c>
      <x:c r="AM7" s="5" t="n">
        <x:v>0.004143896348304441</x:v>
      </x:c>
      <x:c r="AN7" s="5" t="n">
        <x:v>0.01605081249321414</x:v>
      </x:c>
    </x:row>
    <x:row r="8">
      <x:c r="A8" s="3" t="n">
        <x:v>10000702</x:v>
      </x:c>
      <x:c r="B8" s="3" t="n">
        <x:v>202305</x:v>
      </x:c>
      <x:c r="C8" s="5" t="n">
        <x:v>1860.533333333333</x:v>
      </x:c>
      <x:c r="D8" s="5" t="n">
        <x:v>1405.6</x:v>
      </x:c>
      <x:c r="E8" s="3" t="n">
        <x:v>1342</x:v>
      </x:c>
      <x:c r="F8" s="5" t="n">
        <x:v>1341.266666666667</x:v>
      </x:c>
      <x:c r="G8" s="5" t="n">
        <x:v>1345.033333333333</x:v>
      </x:c>
      <x:c r="H8" s="5" t="n">
        <x:v>1209.1</x:v>
      </x:c>
      <x:c r="I8" s="5" t="n">
        <x:v>1157.266666666667</x:v>
      </x:c>
      <x:c r="J8" s="5" t="n">
        <x:v>1180.3</x:v>
      </x:c>
      <x:c r="K8" s="5" t="n">
        <x:v>1254.633333333333</x:v>
      </x:c>
      <x:c r="L8" s="3" t="n">
        <x:v>1148</x:v>
      </x:c>
      <x:c r="M8" s="5" t="n">
        <x:v>1083.7</x:v>
      </x:c>
      <x:c r="N8" s="5" t="n">
        <x:v>1545.4</x:v>
      </x:c>
      <x:c r="O8" s="5" t="n">
        <x:v>1735.166666666667</x:v>
      </x:c>
      <x:c r="P8" s="5" t="n">
        <x:v>1860.533333333333</x:v>
      </x:c>
      <x:c r="Q8" s="5" t="n">
        <x:v>577.9333333333333</x:v>
      </x:c>
      <x:c r="R8" s="5" t="n">
        <x:v>955.3666666666667</x:v>
      </x:c>
      <x:c r="S8" s="5" t="n">
        <x:v>240.0666666666667</x:v>
      </x:c>
      <x:c r="T8" s="5" t="n">
        <x:v>59.5</x:v>
      </x:c>
      <x:c r="U8" s="5" t="n">
        <x:v>7.466666666666667</x:v>
      </x:c>
      <x:c r="V8" s="5" t="n">
        <x:v>20.2</x:v>
      </x:c>
      <x:c r="W8" s="5" t="n">
        <x:v>0.3106277769815107</x:v>
      </x:c>
      <x:c r="X8" s="5" t="n">
        <x:v>0.5134907553389709</x:v>
      </x:c>
      <x:c r="Y8" s="5" t="n">
        <x:v>0.1290311021929196</x:v>
      </x:c>
      <x:c r="Z8" s="5" t="n">
        <x:v>0.0319800773971621</x:v>
      </x:c>
      <x:c r="AA8" s="5" t="n">
        <x:v>0.004013186183173284</x:v>
      </x:c>
      <x:c r="AB8" s="5" t="n">
        <x:v>0.01085710190626344</x:v>
      </x:c>
      <x:c r="AC8" s="5" t="n">
        <x:v>562.1666666666666</x:v>
      </x:c>
      <x:c r="AD8" s="5" t="n">
        <x:v>497.9</x:v>
      </x:c>
      <x:c r="AE8" s="5" t="n">
        <x:v>555.4666666666667</x:v>
      </x:c>
      <x:c r="AF8" s="5" t="n">
        <x:v>222.2</x:v>
      </x:c>
      <x:c r="AG8" s="5" t="n">
        <x:v>0.3</x:v>
      </x:c>
      <x:c r="AH8" s="5" t="n">
        <x:v>22.5</x:v>
      </x:c>
      <x:c r="AI8" s="5" t="n">
        <x:v>0.3021535043715063</x:v>
      </x:c>
      <x:c r="AJ8" s="5" t="n">
        <x:v>0.2676114375806221</x:v>
      </x:c>
      <x:c r="AK8" s="5" t="n">
        <x:v>0.2985523864124982</x:v>
      </x:c>
      <x:c r="AL8" s="5" t="n">
        <x:v>0.1194281209688978</x:v>
      </x:c>
      <x:c r="AM8" s="5" t="n">
        <x:v>0.0001612440877167837</x:v>
      </x:c>
      <x:c r="AN8" s="5" t="n">
        <x:v>0.01209330657875878</x:v>
      </x:c>
    </x:row>
    <x:row r="9">
      <x:c r="A9" s="3" t="n">
        <x:v>10000736</x:v>
      </x:c>
      <x:c r="B9" s="3" t="n">
        <x:v>202306</x:v>
      </x:c>
      <x:c r="C9" s="5" t="n">
        <x:v>2766.2</x:v>
      </x:c>
      <x:c r="D9" s="5" t="n">
        <x:v>1430.3</x:v>
      </x:c>
      <x:c r="E9" s="5" t="n">
        <x:v>987.4666666666667</x:v>
      </x:c>
      <x:c r="F9" s="5" t="n">
        <x:v>1089.333333333333</x:v>
      </x:c>
      <x:c r="G9" s="5" t="n">
        <x:v>845.8</x:v>
      </x:c>
      <x:c r="H9" s="5" t="n">
        <x:v>908.8333333333334</x:v>
      </x:c>
      <x:c r="I9" s="5" t="n">
        <x:v>1000.766666666667</x:v>
      </x:c>
      <x:c r="J9" s="5" t="n">
        <x:v>957.9333333333333</x:v>
      </x:c>
      <x:c r="K9" s="5" t="n">
        <x:v>875.7333333333333</x:v>
      </x:c>
      <x:c r="L9" s="5" t="n">
        <x:v>1105.566666666667</x:v>
      </x:c>
      <x:c r="M9" s="5" t="n">
        <x:v>2246.033333333333</x:v>
      </x:c>
      <x:c r="N9" s="5" t="n">
        <x:v>2515.333333333333</x:v>
      </x:c>
      <x:c r="O9" s="5" t="n">
        <x:v>2392.1</x:v>
      </x:c>
      <x:c r="P9" s="5" t="n">
        <x:v>2766.2</x:v>
      </x:c>
      <x:c r="Q9" s="5" t="n">
        <x:v>1120.7</x:v>
      </x:c>
      <x:c r="R9" s="5" t="n">
        <x:v>1298.7</x:v>
      </x:c>
      <x:c r="S9" s="5" t="n">
        <x:v>260.5666666666667</x:v>
      </x:c>
      <x:c r="T9" s="5" t="n">
        <x:v>63.76666666666667</x:v>
      </x:c>
      <x:c r="U9" s="5" t="n">
        <x:v>10.5</x:v>
      </x:c>
      <x:c r="V9" s="5" t="n">
        <x:v>11.96666666666667</x:v>
      </x:c>
      <x:c r="W9" s="5" t="n">
        <x:v>0.4051406261297087</x:v>
      </x:c>
      <x:c r="X9" s="5" t="n">
        <x:v>0.4694888294411106</x:v>
      </x:c>
      <x:c r="Y9" s="5" t="n">
        <x:v>0.09419661147663462</x:v>
      </x:c>
      <x:c r="Z9" s="5" t="n">
        <x:v>0.02305208107391608</x:v>
      </x:c>
      <x:c r="AA9" s="5" t="n">
        <x:v>0.003795820981852361</x:v>
      </x:c>
      <x:c r="AB9" s="5" t="n">
        <x:v>0.00432603089677777</x:v>
      </x:c>
      <x:c r="AC9" s="5" t="n">
        <x:v>1033.433333333333</x:v>
      </x:c>
      <x:c r="AD9" s="5" t="n">
        <x:v>535.3</x:v>
      </x:c>
      <x:c r="AE9" s="5" t="n">
        <x:v>608.3</x:v>
      </x:c>
      <x:c r="AF9" s="5" t="n">
        <x:v>495.1666666666667</x:v>
      </x:c>
      <x:c r="AG9" s="5" t="n">
        <x:v>57.06666666666667</x:v>
      </x:c>
      <x:c r="AH9" s="5" t="n">
        <x:v>36.93333333333333</x:v>
      </x:c>
      <x:c r="AI9" s="5" t="n">
        <x:v>0.3735931361916469</x:v>
      </x:c>
      <x:c r="AJ9" s="5" t="n">
        <x:v>0.1935145687224351</x:v>
      </x:c>
      <x:c r="AK9" s="5" t="n">
        <x:v>0.2199045622153134</x:v>
      </x:c>
      <x:c r="AL9" s="5" t="n">
        <x:v>0.1790060974140217</x:v>
      </x:c>
      <x:c r="AM9" s="5" t="n">
        <x:v>0.0206299857807341</x:v>
      </x:c>
      <x:c r="AN9" s="5" t="n">
        <x:v>0.01335164967584894</x:v>
      </x:c>
    </x:row>
    <x:row r="10">
      <x:c r="A10" s="3" t="n">
        <x:v>10000737</x:v>
      </x:c>
      <x:c r="B10" s="3" t="n">
        <x:v>202307</x:v>
      </x:c>
      <x:c r="C10" s="5" t="n">
        <x:v>2095.433333333333</x:v>
      </x:c>
      <x:c r="D10" s="5" t="n">
        <x:v>1995.933333333333</x:v>
      </x:c>
      <x:c r="E10" s="5" t="n">
        <x:v>1201.5</x:v>
      </x:c>
      <x:c r="F10" s="5" t="n">
        <x:v>985.9</x:v>
      </x:c>
      <x:c r="G10" s="5" t="n">
        <x:v>989.4</x:v>
      </x:c>
      <x:c r="H10" s="5" t="n">
        <x:v>1157.166666666667</x:v>
      </x:c>
      <x:c r="I10" s="5" t="n">
        <x:v>1144.033333333333</x:v>
      </x:c>
      <x:c r="J10" s="5" t="n">
        <x:v>980.2</x:v>
      </x:c>
      <x:c r="K10" s="5" t="n">
        <x:v>1196.833333333333</x:v>
      </x:c>
      <x:c r="L10" s="5" t="n">
        <x:v>1352.666666666667</x:v>
      </x:c>
      <x:c r="M10" s="5" t="n">
        <x:v>1429.433333333333</x:v>
      </x:c>
      <x:c r="N10" s="5" t="n">
        <x:v>1497.866666666667</x:v>
      </x:c>
      <x:c r="O10" s="5" t="n">
        <x:v>1874.066666666667</x:v>
      </x:c>
      <x:c r="P10" s="5" t="n">
        <x:v>2095.433333333333</x:v>
      </x:c>
      <x:c r="Q10" s="5" t="n">
        <x:v>550.6666666666666</x:v>
      </x:c>
      <x:c r="R10" s="5" t="n">
        <x:v>1062.5</x:v>
      </x:c>
      <x:c r="S10" s="5" t="n">
        <x:v>336.9333333333333</x:v>
      </x:c>
      <x:c r="T10" s="5" t="n">
        <x:v>99.56666666666666</x:v>
      </x:c>
      <x:c r="U10" s="5" t="n">
        <x:v>17.13333333333333</x:v>
      </x:c>
      <x:c r="V10" s="5" t="n">
        <x:v>28.63333333333333</x:v>
      </x:c>
      <x:c r="W10" s="5" t="n">
        <x:v>0.2627936942239473</x:v>
      </x:c>
      <x:c r="X10" s="5" t="n">
        <x:v>0.5070550244181792</x:v>
      </x:c>
      <x:c r="Y10" s="5" t="n">
        <x:v>0.1607941078217711</x:v>
      </x:c>
      <x:c r="Z10" s="5" t="n">
        <x:v>0.04751602691567376</x:v>
      </x:c>
      <x:c r="AA10" s="5" t="n">
        <x:v>0.008176510825127659</x:v>
      </x:c>
      <x:c r="AB10" s="5" t="n">
        <x:v>0.01366463579530089</x:v>
      </x:c>
      <x:c r="AC10" s="5" t="n">
        <x:v>847.1</x:v>
      </x:c>
      <x:c r="AD10" s="5" t="n">
        <x:v>478.1666666666667</x:v>
      </x:c>
      <x:c r="AE10" s="5" t="n">
        <x:v>489.9</x:v>
      </x:c>
      <x:c r="AF10" s="5" t="n">
        <x:v>250.2666666666667</x:v>
      </x:c>
      <x:c r="AG10" s="5" t="n">
        <x:v>9.966666666666667</x:v>
      </x:c>
      <x:c r="AH10" s="5" t="n">
        <x:v>20.03333333333333</x:v>
      </x:c>
      <x:c r="AI10" s="5" t="n">
        <x:v>0.4042600575855432</x:v>
      </x:c>
      <x:c r="AJ10" s="5" t="n">
        <x:v>0.2281946454989421</x:v>
      </x:c>
      <x:c r="AK10" s="5" t="n">
        <x:v>0.2337941237293797</x:v>
      </x:c>
      <x:c r="AL10" s="5" t="n">
        <x:v>0.1194343254378569</x:v>
      </x:c>
      <x:c r="AM10" s="5" t="n">
        <x:v>0.004756374974150136</x:v>
      </x:c>
      <x:c r="AN10" s="5" t="n">
        <x:v>0.009560472774127866</x:v>
      </x:c>
    </x:row>
    <x:row r="11">
      <x:c r="A11" s="3" t="n">
        <x:v>10000738</x:v>
      </x:c>
      <x:c r="B11" s="3" t="n">
        <x:v>202306</x:v>
      </x:c>
      <x:c r="C11" s="5" t="n">
        <x:v>1298.633333333333</x:v>
      </x:c>
      <x:c r="D11" s="5" t="n">
        <x:v>2028.5</x:v>
      </x:c>
      <x:c r="E11" s="5" t="n">
        <x:v>1235.566666666667</x:v>
      </x:c>
      <x:c r="F11" s="5" t="n">
        <x:v>1175.166666666667</x:v>
      </x:c>
      <x:c r="G11" s="5" t="n">
        <x:v>1022.433333333333</x:v>
      </x:c>
      <x:c r="H11" s="5" t="n">
        <x:v>1086.533333333333</x:v>
      </x:c>
      <x:c r="I11" s="5" t="n">
        <x:v>994.2333333333333</x:v>
      </x:c>
      <x:c r="J11" s="5" t="n">
        <x:v>1000.066666666667</x:v>
      </x:c>
      <x:c r="K11" s="5" t="n">
        <x:v>899.5666666666667</x:v>
      </x:c>
      <x:c r="L11" s="5" t="n">
        <x:v>1010.633333333333</x:v>
      </x:c>
      <x:c r="M11" s="5" t="n">
        <x:v>1216.2</x:v>
      </x:c>
      <x:c r="N11" s="5" t="n">
        <x:v>1194.8</x:v>
      </x:c>
      <x:c r="O11" s="5" t="n">
        <x:v>1171.366666666667</x:v>
      </x:c>
      <x:c r="P11" s="5" t="n">
        <x:v>1298.633333333333</x:v>
      </x:c>
      <x:c r="Q11" s="5" t="n">
        <x:v>431.9</x:v>
      </x:c>
      <x:c r="R11" s="5" t="n">
        <x:v>629.3</x:v>
      </x:c>
      <x:c r="S11" s="5" t="n">
        <x:v>179.6333333333333</x:v>
      </x:c>
      <x:c r="T11" s="5" t="n">
        <x:v>48.13333333333333</x:v>
      </x:c>
      <x:c r="U11" s="5" t="n">
        <x:v>4.766666666666667</x:v>
      </x:c>
      <x:c r="V11" s="5" t="n">
        <x:v>4.9</x:v>
      </x:c>
      <x:c r="W11" s="5" t="n">
        <x:v>0.3325804050411971</x:v>
      </x:c>
      <x:c r="X11" s="5" t="n">
        <x:v>0.4845863600195076</x:v>
      </x:c>
      <x:c r="Y11" s="5" t="n">
        <x:v>0.1383249056700634</x:v>
      </x:c>
      <x:c r="Z11" s="5" t="n">
        <x:v>0.03706460638106727</x:v>
      </x:c>
      <x:c r="AA11" s="5" t="n">
        <x:v>0.003670525424163864</x:v>
      </x:c>
      <x:c r="AB11" s="5" t="n">
        <x:v>0.003773197464000616</x:v>
      </x:c>
      <x:c r="AC11" s="5" t="n">
        <x:v>282.0666666666667</x:v>
      </x:c>
      <x:c r="AD11" s="5" t="n">
        <x:v>324.2</x:v>
      </x:c>
      <x:c r="AE11" s="5" t="n">
        <x:v>436.5</x:v>
      </x:c>
      <x:c r="AF11" s="5" t="n">
        <x:v>236.7</x:v>
      </x:c>
      <x:c r="AG11" s="5" t="n">
        <x:v>1.433333333333333</x:v>
      </x:c>
      <x:c r="AH11" s="5" t="n">
        <x:v>17.73333333333333</x:v>
      </x:c>
      <x:c r="AI11" s="5" t="n">
        <x:v>0.2172027002746477</x:v>
      </x:c>
      <x:c r="AJ11" s="5" t="n">
        <x:v>0.2496470648630611</x:v>
      </x:c>
      <x:c r="AK11" s="5" t="n">
        <x:v>0.3361225904155651</x:v>
      </x:c>
      <x:c r="AL11" s="5" t="n">
        <x:v>0.182268538720193</x:v>
      </x:c>
      <x:c r="AM11" s="5" t="n">
        <x:v>0.001103724428245078</x:v>
      </x:c>
      <x:c r="AN11" s="5" t="n">
        <x:v>0.01365538129828794</x:v>
      </x:c>
    </x:row>
    <x:row r="12">
      <x:c r="A12" s="3" t="n">
        <x:v>10000739</x:v>
      </x:c>
      <x:c r="B12" s="3" t="n">
        <x:v>202306</x:v>
      </x:c>
      <x:c r="C12" s="5" t="n">
        <x:v>2020.4</x:v>
      </x:c>
      <x:c r="D12" s="5" t="n">
        <x:v>1748.833333333333</x:v>
      </x:c>
      <x:c r="E12" s="5" t="n">
        <x:v>1425.366666666667</x:v>
      </x:c>
      <x:c r="F12" s="5" t="n">
        <x:v>1322.266666666667</x:v>
      </x:c>
      <x:c r="G12" s="5" t="n">
        <x:v>1203.066666666667</x:v>
      </x:c>
      <x:c r="H12" s="5" t="n">
        <x:v>1404.133333333333</x:v>
      </x:c>
      <x:c r="I12" s="5" t="n">
        <x:v>1565.8</x:v>
      </x:c>
      <x:c r="J12" s="5" t="n">
        <x:v>1342.633333333333</x:v>
      </x:c>
      <x:c r="K12" s="5" t="n">
        <x:v>1188.333333333333</x:v>
      </x:c>
      <x:c r="L12" s="5" t="n">
        <x:v>1431.433333333333</x:v>
      </x:c>
      <x:c r="M12" s="5" t="n">
        <x:v>1556.533333333333</x:v>
      </x:c>
      <x:c r="N12" s="5" t="n">
        <x:v>1619.7</x:v>
      </x:c>
      <x:c r="O12" s="5" t="n">
        <x:v>1750.466666666667</x:v>
      </x:c>
      <x:c r="P12" s="5" t="n">
        <x:v>2020.4</x:v>
      </x:c>
      <x:c r="Q12" s="5" t="n">
        <x:v>619.1</x:v>
      </x:c>
      <x:c r="R12" s="5" t="n">
        <x:v>1030.733333333333</x:v>
      </x:c>
      <x:c r="S12" s="3" t="n">
        <x:v>277</x:v>
      </x:c>
      <x:c r="T12" s="5" t="n">
        <x:v>71.03333333333333</x:v>
      </x:c>
      <x:c r="U12" s="5" t="n">
        <x:v>11.1</x:v>
      </x:c>
      <x:c r="V12" s="5" t="n">
        <x:v>11.43333333333333</x:v>
      </x:c>
      <x:c r="W12" s="5" t="n">
        <x:v>0.3064244704019006</x:v>
      </x:c>
      <x:c r="X12" s="5" t="n">
        <x:v>0.5101630040256054</x:v>
      </x:c>
      <x:c r="Y12" s="5" t="n">
        <x:v>0.1371015640467234</x:v>
      </x:c>
      <x:c r="Z12" s="5" t="n">
        <x:v>0.03515805451065795</x:v>
      </x:c>
      <x:c r="AA12" s="5" t="n">
        <x:v>0.005493961591764007</x:v>
      </x:c>
      <x:c r="AB12" s="5" t="n">
        <x:v>0.005658945423348512</x:v>
      </x:c>
      <x:c r="AC12" s="5" t="n">
        <x:v>342.4333333333333</x:v>
      </x:c>
      <x:c r="AD12" s="5" t="n">
        <x:v>868.7666666666667</x:v>
      </x:c>
      <x:c r="AE12" s="5" t="n">
        <x:v>709.2</x:v>
      </x:c>
      <x:c r="AF12" s="5" t="n">
        <x:v>75.59999999999999</x:v>
      </x:c>
      <x:c r="AG12" s="3" t="n">
        <x:v>0</x:v>
      </x:c>
      <x:c r="AH12" s="5" t="n">
        <x:v>24.4</x:v>
      </x:c>
      <x:c r="AI12" s="5" t="n">
        <x:v>0.1694878901867617</x:v>
      </x:c>
      <x:c r="AJ12" s="5" t="n">
        <x:v>0.4299973602586946</x:v>
      </x:c>
      <x:c r="AK12" s="5" t="n">
        <x:v>0.3510196000791923</x:v>
      </x:c>
      <x:c r="AL12" s="5" t="n">
        <x:v>0.03741833300336567</x:v>
      </x:c>
      <x:c r="AM12" s="3" t="n">
        <x:v>0</x:v>
      </x:c>
      <x:c r="AN12" s="5" t="n">
        <x:v>0.01207681647198574</x:v>
      </x:c>
    </x:row>
    <x:row r="13">
      <x:c r="A13" s="3" t="n">
        <x:v>10000749</x:v>
      </x:c>
      <x:c r="B13" s="3" t="n">
        <x:v>202306</x:v>
      </x:c>
      <x:c r="C13" s="5" t="n">
        <x:v>1338.333333333333</x:v>
      </x:c>
      <x:c r="D13" s="5" t="n">
        <x:v>1285.3</x:v>
      </x:c>
      <x:c r="E13" s="5" t="n">
        <x:v>1036.333333333333</x:v>
      </x:c>
      <x:c r="F13" s="5" t="n">
        <x:v>1051.633333333333</x:v>
      </x:c>
      <x:c r="G13" s="5" t="n">
        <x:v>910.9333333333333</x:v>
      </x:c>
      <x:c r="H13" s="5" t="n">
        <x:v>987.6</x:v>
      </x:c>
      <x:c r="I13" s="5" t="n">
        <x:v>1065.8</x:v>
      </x:c>
      <x:c r="J13" s="5" t="n">
        <x:v>1011.033333333333</x:v>
      </x:c>
      <x:c r="K13" s="5" t="n">
        <x:v>901.7666666666667</x:v>
      </x:c>
      <x:c r="L13" s="5" t="n">
        <x:v>1098.866666666667</x:v>
      </x:c>
      <x:c r="M13" s="5" t="n">
        <x:v>1162.8</x:v>
      </x:c>
      <x:c r="N13" s="5" t="n">
        <x:v>1126.033333333333</x:v>
      </x:c>
      <x:c r="O13" s="5" t="n">
        <x:v>1188.7</x:v>
      </x:c>
      <x:c r="P13" s="5" t="n">
        <x:v>1338.333333333333</x:v>
      </x:c>
      <x:c r="Q13" s="5" t="n">
        <x:v>555.4</x:v>
      </x:c>
      <x:c r="R13" s="5" t="n">
        <x:v>630.4333333333333</x:v>
      </x:c>
      <x:c r="S13" s="5" t="n">
        <x:v>116.7333333333333</x:v>
      </x:c>
      <x:c r="T13" s="5" t="n">
        <x:v>26.16666666666667</x:v>
      </x:c>
      <x:c r="U13" s="5" t="n">
        <x:v>4.4</x:v>
      </x:c>
      <x:c r="V13" s="5" t="n">
        <x:v>5.2</x:v>
      </x:c>
      <x:c r="W13" s="5" t="n">
        <x:v>0.4149937733499378</x:v>
      </x:c>
      <x:c r="X13" s="5" t="n">
        <x:v>0.4710585305105853</x:v>
      </x:c>
      <x:c r="Y13" s="5" t="n">
        <x:v>0.08722291407222915</x:v>
      </x:c>
      <x:c r="Z13" s="5" t="n">
        <x:v>0.01955168119551681</x:v>
      </x:c>
      <x:c r="AA13" s="5" t="n">
        <x:v>0.003287671232876713</x:v>
      </x:c>
      <x:c r="AB13" s="5" t="n">
        <x:v>0.003885429638854297</x:v>
      </x:c>
      <x:c r="AC13" s="3" t="n">
        <x:v>244</x:v>
      </x:c>
      <x:c r="AD13" s="5" t="n">
        <x:v>308.7333333333333</x:v>
      </x:c>
      <x:c r="AE13" s="3" t="n">
        <x:v>471</x:v>
      </x:c>
      <x:c r="AF13" s="5" t="n">
        <x:v>294.2333333333333</x:v>
      </x:c>
      <x:c r="AG13" s="5" t="n">
        <x:v>0.4</x:v>
      </x:c>
      <x:c r="AH13" s="5" t="n">
        <x:v>19.96666666666667</x:v>
      </x:c>
      <x:c r="AI13" s="5" t="n">
        <x:v>0.1823163138231632</x:v>
      </x:c>
      <x:c r="AJ13" s="5" t="n">
        <x:v>0.2306849315068494</x:v>
      </x:c>
      <x:c r="AK13" s="5" t="n">
        <x:v>0.3519302615193026</x:v>
      </x:c>
      <x:c r="AL13" s="5" t="n">
        <x:v>0.2198505603985056</x:v>
      </x:c>
      <x:c r="AM13" s="5" t="n">
        <x:v>0.0002988792029887921</x:v>
      </x:c>
      <x:c r="AN13" s="5" t="n">
        <x:v>0.01491905354919053</x:v>
      </x:c>
    </x:row>
    <x:row r="14">
      <x:c r="A14" s="3" t="n">
        <x:v>10000757</x:v>
      </x:c>
      <x:c r="B14" s="3" t="n">
        <x:v>202307</x:v>
      </x:c>
      <x:c r="C14" s="5" t="n">
        <x:v>1490.366666666667</x:v>
      </x:c>
      <x:c r="D14" s="5" t="n">
        <x:v>1702.233333333333</x:v>
      </x:c>
      <x:c r="E14" s="3" t="n">
        <x:v>1121</x:v>
      </x:c>
      <x:c r="F14" s="5" t="n">
        <x:v>1017.066666666667</x:v>
      </x:c>
      <x:c r="G14" s="5" t="n">
        <x:v>892.9333333333333</x:v>
      </x:c>
      <x:c r="H14" s="5" t="n">
        <x:v>876.1333333333333</x:v>
      </x:c>
      <x:c r="I14" s="5" t="n">
        <x:v>899.9333333333333</x:v>
      </x:c>
      <x:c r="J14" s="5" t="n">
        <x:v>868.2666666666667</x:v>
      </x:c>
      <x:c r="K14" s="5" t="n">
        <x:v>827.9</x:v>
      </x:c>
      <x:c r="L14" s="5" t="n">
        <x:v>989.0666666666667</x:v>
      </x:c>
      <x:c r="M14" s="5" t="n">
        <x:v>1212.033333333333</x:v>
      </x:c>
      <x:c r="N14" s="5" t="n">
        <x:v>1148.033333333333</x:v>
      </x:c>
      <x:c r="O14" s="5" t="n">
        <x:v>1211.833333333333</x:v>
      </x:c>
      <x:c r="P14" s="5" t="n">
        <x:v>1490.366666666667</x:v>
      </x:c>
      <x:c r="Q14" s="5" t="n">
        <x:v>548.4333333333333</x:v>
      </x:c>
      <x:c r="R14" s="5" t="n">
        <x:v>729.2</x:v>
      </x:c>
      <x:c r="S14" s="5" t="n">
        <x:v>159.4333333333333</x:v>
      </x:c>
      <x:c r="T14" s="5" t="n">
        <x:v>42.53333333333333</x:v>
      </x:c>
      <x:c r="U14" s="5" t="n">
        <x:v>3.1</x:v>
      </x:c>
      <x:c r="V14" s="5" t="n">
        <x:v>7.666666666666667</x:v>
      </x:c>
      <x:c r="W14" s="5" t="n">
        <x:v>0.3679855069222339</x:v>
      </x:c>
      <x:c r="X14" s="5" t="n">
        <x:v>0.4892755697703027</x:v>
      </x:c>
      <x:c r="Y14" s="5" t="n">
        <x:v>0.1069759119679721</x:v>
      </x:c>
      <x:c r="Z14" s="5" t="n">
        <x:v>0.02853883831719264</x:v>
      </x:c>
      <x:c r="AA14" s="5" t="n">
        <x:v>0.00208002504976404</x:v>
      </x:c>
      <x:c r="AB14" s="5" t="n">
        <x:v>0.005144147972534724</x:v>
      </x:c>
      <x:c r="AC14" s="5" t="n">
        <x:v>480.6666666666667</x:v>
      </x:c>
      <x:c r="AD14" s="5" t="n">
        <x:v>381.5666666666667</x:v>
      </x:c>
      <x:c r="AE14" s="5" t="n">
        <x:v>318.6333333333333</x:v>
      </x:c>
      <x:c r="AF14" s="3" t="n">
        <x:v>275</x:v>
      </x:c>
      <x:c r="AG14" s="5" t="n">
        <x:v>16.43333333333333</x:v>
      </x:c>
      <x:c r="AH14" s="5" t="n">
        <x:v>18.06666666666667</x:v>
      </x:c>
      <x:c r="AI14" s="5" t="n">
        <x:v>0.322515712017177</x:v>
      </x:c>
      <x:c r="AJ14" s="5" t="n">
        <x:v>0.2560220080069782</x:v>
      </x:c>
      <x:c r="AK14" s="5" t="n">
        <x:v>0.2137952629106931</x:v>
      </x:c>
      <x:c r="AL14" s="5" t="n">
        <x:v>0.1845183511887455</x:v>
      </x:c>
      <x:c r="AM14" s="5" t="n">
        <x:v>0.01102636934982443</x:v>
      </x:c>
      <x:c r="AN14" s="5" t="n">
        <x:v>0.01212229652658183</x:v>
      </x:c>
    </x:row>
    <x:row r="15">
      <x:c r="A15" s="3" t="n">
        <x:v>10000758</x:v>
      </x:c>
      <x:c r="B15" s="3" t="n">
        <x:v>202307</x:v>
      </x:c>
      <x:c r="C15" s="5" t="n">
        <x:v>1976.233333333333</x:v>
      </x:c>
      <x:c r="D15" s="5" t="n">
        <x:v>1962.633333333333</x:v>
      </x:c>
      <x:c r="E15" s="5" t="n">
        <x:v>1251.9</x:v>
      </x:c>
      <x:c r="F15" s="5" t="n">
        <x:v>984.7333333333333</x:v>
      </x:c>
      <x:c r="G15" s="5" t="n">
        <x:v>1096.833333333333</x:v>
      </x:c>
      <x:c r="H15" s="5" t="n">
        <x:v>1151.166666666667</x:v>
      </x:c>
      <x:c r="I15" s="5" t="n">
        <x:v>1071.2</x:v>
      </x:c>
      <x:c r="J15" s="5" t="n">
        <x:v>1173.4</x:v>
      </x:c>
      <x:c r="K15" s="5" t="n">
        <x:v>1304.966666666667</x:v>
      </x:c>
      <x:c r="L15" s="5" t="n">
        <x:v>1510.2</x:v>
      </x:c>
      <x:c r="M15" s="5" t="n">
        <x:v>1475.9</x:v>
      </x:c>
      <x:c r="N15" s="5" t="n">
        <x:v>1520.033333333333</x:v>
      </x:c>
      <x:c r="O15" s="5" t="n">
        <x:v>1869.166666666667</x:v>
      </x:c>
      <x:c r="P15" s="5" t="n">
        <x:v>1976.233333333333</x:v>
      </x:c>
      <x:c r="Q15" s="5" t="n">
        <x:v>642.2</x:v>
      </x:c>
      <x:c r="R15" s="5" t="n">
        <x:v>972.2</x:v>
      </x:c>
      <x:c r="S15" s="5" t="n">
        <x:v>260.5666666666667</x:v>
      </x:c>
      <x:c r="T15" s="5" t="n">
        <x:v>65.90000000000001</x:v>
      </x:c>
      <x:c r="U15" s="5" t="n">
        <x:v>7.366666666666666</x:v>
      </x:c>
      <x:c r="V15" s="3" t="n">
        <x:v>28</x:v>
      </x:c>
      <x:c r="W15" s="5" t="n">
        <x:v>0.3249616273382023</x:v>
      </x:c>
      <x:c r="X15" s="5" t="n">
        <x:v>0.4919459577985056</x:v>
      </x:c>
      <x:c r="Y15" s="5" t="n">
        <x:v>0.131850152647292</x:v>
      </x:c>
      <x:c r="Z15" s="5" t="n">
        <x:v>0.03334626477979996</x:v>
      </x:c>
      <x:c r="AA15" s="5" t="n">
        <x:v>0.003727630003204749</x:v>
      </x:c>
      <x:c r="AB15" s="5" t="n">
        <x:v>0.01416836743299543</x:v>
      </x:c>
      <x:c r="AC15" s="5" t="n">
        <x:v>510.7333333333333</x:v>
      </x:c>
      <x:c r="AD15" s="5" t="n">
        <x:v>520.3666666666667</x:v>
      </x:c>
      <x:c r="AE15" s="5" t="n">
        <x:v>525.3333333333334</x:v>
      </x:c>
      <x:c r="AF15" s="5" t="n">
        <x:v>367.8</x:v>
      </x:c>
      <x:c r="AG15" s="5" t="n">
        <x:v>21.26666666666667</x:v>
      </x:c>
      <x:c r="AH15" s="5" t="n">
        <x:v>30.73333333333333</x:v>
      </x:c>
      <x:c r="AI15" s="5" t="n">
        <x:v>0.2584377688194714</x:v>
      </x:c>
      <x:c r="AJ15" s="5" t="n">
        <x:v>0.2633123619005853</x:v>
      </x:c>
      <x:c r="AK15" s="5" t="n">
        <x:v>0.2658255604095333</x:v>
      </x:c>
      <x:c r="AL15" s="5" t="n">
        <x:v>0.1861116264948471</x:v>
      </x:c>
      <x:c r="AM15" s="5" t="n">
        <x:v>0.01076121240744177</x:v>
      </x:c>
      <x:c r="AN15" s="5" t="n">
        <x:v>0.01555146996812117</x:v>
      </x:c>
    </x:row>
    <x:row r="16">
      <x:c r="A16" s="3" t="n">
        <x:v>10000770</x:v>
      </x:c>
      <x:c r="B16" s="3" t="n">
        <x:v>202307</x:v>
      </x:c>
      <x:c r="C16" s="5" t="n">
        <x:v>2044.766666666667</x:v>
      </x:c>
      <x:c r="D16" s="5" t="n">
        <x:v>1508.6</x:v>
      </x:c>
      <x:c r="E16" s="5" t="n">
        <x:v>1191.3</x:v>
      </x:c>
      <x:c r="F16" s="5" t="n">
        <x:v>1115.8</x:v>
      </x:c>
      <x:c r="G16" s="3" t="n">
        <x:v>1007</x:v>
      </x:c>
      <x:c r="H16" s="3" t="n">
        <x:v>1012</x:v>
      </x:c>
      <x:c r="I16" s="5" t="n">
        <x:v>1101.666666666667</x:v>
      </x:c>
      <x:c r="J16" s="5" t="n">
        <x:v>1019.933333333333</x:v>
      </x:c>
      <x:c r="K16" s="5" t="n">
        <x:v>972.5666666666667</x:v>
      </x:c>
      <x:c r="L16" s="5" t="n">
        <x:v>1149.1</x:v>
      </x:c>
      <x:c r="M16" s="5" t="n">
        <x:v>1205.866666666667</x:v>
      </x:c>
      <x:c r="N16" s="5" t="n">
        <x:v>1499.1</x:v>
      </x:c>
      <x:c r="O16" s="5" t="n">
        <x:v>1731.766666666667</x:v>
      </x:c>
      <x:c r="P16" s="5" t="n">
        <x:v>2044.766666666667</x:v>
      </x:c>
      <x:c r="Q16" s="5" t="n">
        <x:v>780.5666666666667</x:v>
      </x:c>
      <x:c r="R16" s="5" t="n">
        <x:v>974.7333333333333</x:v>
      </x:c>
      <x:c r="S16" s="5" t="n">
        <x:v>219.1666666666667</x:v>
      </x:c>
      <x:c r="T16" s="5" t="n">
        <x:v>50.33333333333334</x:v>
      </x:c>
      <x:c r="U16" s="5" t="n">
        <x:v>7.266666666666667</x:v>
      </x:c>
      <x:c r="V16" s="5" t="n">
        <x:v>12.7</x:v>
      </x:c>
      <x:c r="W16" s="5" t="n">
        <x:v>0.3817387476973738</x:v>
      </x:c>
      <x:c r="X16" s="5" t="n">
        <x:v>0.4766966075998891</x:v>
      </x:c>
      <x:c r="Y16" s="5" t="n">
        <x:v>0.1071841937955431</x:v>
      </x:c>
      <x:c r="Z16" s="5" t="n">
        <x:v>0.02461568557129583</x:v>
      </x:c>
      <x:c r="AA16" s="5" t="n">
        <x:v>0.00355378771824006</x:v>
      </x:c>
      <x:c r="AB16" s="5" t="n">
        <x:v>0.006210977617658086</x:v>
      </x:c>
      <x:c r="AC16" s="5" t="n">
        <x:v>783.7666666666667</x:v>
      </x:c>
      <x:c r="AD16" s="3" t="n">
        <x:v>717</x:v>
      </x:c>
      <x:c r="AE16" s="5" t="n">
        <x:v>322.2666666666667</x:v>
      </x:c>
      <x:c r="AF16" s="5" t="n">
        <x:v>171.9</x:v>
      </x:c>
      <x:c r="AG16" s="5" t="n">
        <x:v>0.06666666666666667</x:v>
      </x:c>
      <x:c r="AH16" s="5" t="n">
        <x:v>49.76666666666667</x:v>
      </x:c>
      <x:c r="AI16" s="5" t="n">
        <x:v>0.3833037184356813</x:v>
      </x:c>
      <x:c r="AJ16" s="5" t="n">
        <x:v>0.3506512560520353</x:v>
      </x:c>
      <x:c r="AK16" s="5" t="n">
        <x:v>0.1576055947703894</x:v>
      </x:c>
      <x:c r="AL16" s="5" t="n">
        <x:v>0.08406827184845866</x:v>
      </x:c>
      <x:c r="AM16" s="5" t="n">
        <x:v>3.260355704807395e-05</x:v>
      </x:c>
      <x:c r="AN16" s="5" t="n">
        <x:v>0.0243385553363872</x:v>
      </x:c>
    </x:row>
    <x:row r="17">
      <x:c r="A17" s="3" t="n">
        <x:v>10000771</x:v>
      </x:c>
      <x:c r="B17" s="3" t="n">
        <x:v>202307</x:v>
      </x:c>
      <x:c r="C17" s="5" t="n">
        <x:v>1567.633333333333</x:v>
      </x:c>
      <x:c r="D17" s="5" t="n">
        <x:v>1491.1</x:v>
      </x:c>
      <x:c r="E17" s="5" t="n">
        <x:v>1222.566666666667</x:v>
      </x:c>
      <x:c r="F17" s="5" t="n">
        <x:v>1184.9</x:v>
      </x:c>
      <x:c r="G17" s="5" t="n">
        <x:v>1026.366666666667</x:v>
      </x:c>
      <x:c r="H17" s="5" t="n">
        <x:v>1032.566666666667</x:v>
      </x:c>
      <x:c r="I17" s="5" t="n">
        <x:v>1137.033333333333</x:v>
      </x:c>
      <x:c r="J17" s="5" t="n">
        <x:v>980.5</x:v>
      </x:c>
      <x:c r="K17" s="5" t="n">
        <x:v>944.5</x:v>
      </x:c>
      <x:c r="L17" s="5" t="n">
        <x:v>1140.833333333333</x:v>
      </x:c>
      <x:c r="M17" s="5" t="n">
        <x:v>1142.433333333333</x:v>
      </x:c>
      <x:c r="N17" s="5" t="n">
        <x:v>1174.7</x:v>
      </x:c>
      <x:c r="O17" s="5" t="n">
        <x:v>1323.333333333333</x:v>
      </x:c>
      <x:c r="P17" s="5" t="n">
        <x:v>1567.633333333333</x:v>
      </x:c>
      <x:c r="Q17" s="5" t="n">
        <x:v>576.6666666666666</x:v>
      </x:c>
      <x:c r="R17" s="5" t="n">
        <x:v>763.9333333333333</x:v>
      </x:c>
      <x:c r="S17" s="5" t="n">
        <x:v>168.9</x:v>
      </x:c>
      <x:c r="T17" s="5" t="n">
        <x:v>42.63333333333333</x:v>
      </x:c>
      <x:c r="U17" s="5" t="n">
        <x:v>5.8</x:v>
      </x:c>
      <x:c r="V17" s="5" t="n">
        <x:v>9.699999999999999</x:v>
      </x:c>
      <x:c r="W17" s="5" t="n">
        <x:v>0.3678581300899444</x:v>
      </x:c>
      <x:c r="X17" s="5" t="n">
        <x:v>0.4873163367284016</x:v>
      </x:c>
      <x:c r="Y17" s="5" t="n">
        <x:v>0.107742031512471</x:v>
      </x:c>
      <x:c r="Z17" s="5" t="n">
        <x:v>0.0271959854557826</x:v>
      </x:c>
      <x:c r="AA17" s="5" t="n">
        <x:v>0.003699844776627187</x:v>
      </x:c>
      <x:c r="AB17" s="5" t="n">
        <x:v>0.006187671436773054</x:v>
      </x:c>
      <x:c r="AC17" s="5" t="n">
        <x:v>979.6</x:v>
      </x:c>
      <x:c r="AD17" s="5" t="n">
        <x:v>222.5</x:v>
      </x:c>
      <x:c r="AE17" s="5" t="n">
        <x:v>207.1333333333333</x:v>
      </x:c>
      <x:c r="AF17" s="5" t="n">
        <x:v>123.7333333333333</x:v>
      </x:c>
      <x:c r="AG17" s="3" t="n">
        <x:v>0</x:v>
      </x:c>
      <x:c r="AH17" s="5" t="n">
        <x:v>34.66666666666666</x:v>
      </x:c>
      <x:c r="AI17" s="5" t="n">
        <x:v>0.6248910246868953</x:v>
      </x:c>
      <x:c r="AJ17" s="5" t="n">
        <x:v>0.1419337004826809</x:v>
      </x:c>
      <x:c r="AK17" s="5" t="n">
        <x:v>0.1321312381721916</x:v>
      </x:c>
      <x:c r="AL17" s="5" t="n">
        <x:v>0.07893002190138</x:v>
      </x:c>
      <x:c r="AM17" s="3" t="n">
        <x:v>0</x:v>
      </x:c>
      <x:c r="AN17" s="5" t="n">
        <x:v>0.02211401475685215</x:v>
      </x:c>
    </x:row>
    <x:row r="18">
      <x:c r="A18" s="3" t="n">
        <x:v>10000772</x:v>
      </x:c>
      <x:c r="B18" s="3" t="n">
        <x:v>202308</x:v>
      </x:c>
      <x:c r="C18" s="5" t="n">
        <x:v>1725.833333333333</x:v>
      </x:c>
      <x:c r="D18" s="5" t="n">
        <x:v>1795.366666666667</x:v>
      </x:c>
      <x:c r="E18" s="3" t="n">
        <x:v>1276</x:v>
      </x:c>
      <x:c r="F18" s="5" t="n">
        <x:v>993.8666666666667</x:v>
      </x:c>
      <x:c r="G18" s="5" t="n">
        <x:v>1069.966666666667</x:v>
      </x:c>
      <x:c r="H18" s="5" t="n">
        <x:v>1086.5</x:v>
      </x:c>
      <x:c r="I18" s="5" t="n">
        <x:v>1000.466666666667</x:v>
      </x:c>
      <x:c r="J18" s="5" t="n">
        <x:v>934.5666666666667</x:v>
      </x:c>
      <x:c r="K18" s="5" t="n">
        <x:v>1108.833333333333</x:v>
      </x:c>
      <x:c r="L18" s="5" t="n">
        <x:v>1167.2</x:v>
      </x:c>
      <x:c r="M18" s="5" t="n">
        <x:v>1190.666666666667</x:v>
      </x:c>
      <x:c r="N18" s="5" t="n">
        <x:v>1299.733333333333</x:v>
      </x:c>
      <x:c r="O18" s="5" t="n">
        <x:v>1525.133333333333</x:v>
      </x:c>
      <x:c r="P18" s="5" t="n">
        <x:v>1725.833333333333</x:v>
      </x:c>
      <x:c r="Q18" s="5" t="n">
        <x:v>526.7666666666667</x:v>
      </x:c>
      <x:c r="R18" s="5" t="n">
        <x:v>878.5666666666667</x:v>
      </x:c>
      <x:c r="S18" s="5" t="n">
        <x:v>234.6333333333333</x:v>
      </x:c>
      <x:c r="T18" s="5" t="n">
        <x:v>58.76666666666667</x:v>
      </x:c>
      <x:c r="U18" s="5" t="n">
        <x:v>5.233333333333333</x:v>
      </x:c>
      <x:c r="V18" s="5" t="n">
        <x:v>21.86666666666667</x:v>
      </x:c>
      <x:c r="W18" s="5" t="n">
        <x:v>0.3052245292129406</x:v>
      </x:c>
      <x:c r="X18" s="5" t="n">
        <x:v>0.509068083051666</x:v>
      </x:c>
      <x:c r="Y18" s="5" t="n">
        <x:v>0.1359536455818445</x:v>
      </x:c>
      <x:c r="Z18" s="5" t="n">
        <x:v>0.03405118300338001</x:v>
      </x:c>
      <x:c r="AA18" s="5" t="n">
        <x:v>0.003032351521004346</x:v>
      </x:c>
      <x:c r="AB18" s="5" t="n">
        <x:v>0.01267020762916466</x:v>
      </x:c>
      <x:c r="AC18" s="3" t="n">
        <x:v>503</x:v>
      </x:c>
      <x:c r="AD18" s="5" t="n">
        <x:v>455.1</x:v>
      </x:c>
      <x:c r="AE18" s="5" t="n">
        <x:v>372.0333333333334</x:v>
      </x:c>
      <x:c r="AF18" s="5" t="n">
        <x:v>277.7333333333333</x:v>
      </x:c>
      <x:c r="AG18" s="5" t="n">
        <x:v>96.96666666666667</x:v>
      </x:c>
      <x:c r="AH18" s="3" t="n">
        <x:v>21</x:v>
      </x:c>
      <x:c r="AI18" s="5" t="n">
        <x:v>0.2914534041525833</x:v>
      </x:c>
      <x:c r="AJ18" s="5" t="n">
        <x:v>0.2636986962819894</x:v>
      </x:c>
      <x:c r="AK18" s="5" t="n">
        <x:v>0.2155673587638822</x:v>
      </x:c>
      <x:c r="AL18" s="5" t="n">
        <x:v>0.1609270883631096</x:v>
      </x:c>
      <x:c r="AM18" s="5" t="n">
        <x:v>0.05618541767262192</x:v>
      </x:c>
      <x:c r="AN18" s="5" t="n">
        <x:v>0.01216803476581362</x:v>
      </x:c>
    </x:row>
    <x:row r="19">
      <x:c r="A19" s="3" t="n">
        <x:v>10000801</x:v>
      </x:c>
      <x:c r="B19" s="3" t="n">
        <x:v>202308</x:v>
      </x:c>
      <x:c r="C19" s="5" t="n">
        <x:v>2932.233333333333</x:v>
      </x:c>
      <x:c r="D19" s="5" t="n">
        <x:v>2469.066666666667</x:v>
      </x:c>
      <x:c r="E19" s="5" t="n">
        <x:v>1777.6</x:v>
      </x:c>
      <x:c r="F19" s="3" t="n">
        <x:v>1778</x:v>
      </x:c>
      <x:c r="G19" s="5" t="n">
        <x:v>1899.833333333333</x:v>
      </x:c>
      <x:c r="H19" s="5" t="n">
        <x:v>1955.533333333333</x:v>
      </x:c>
      <x:c r="I19" s="5" t="n">
        <x:v>1714.3</x:v>
      </x:c>
      <x:c r="J19" s="5" t="n">
        <x:v>1634.7</x:v>
      </x:c>
      <x:c r="K19" s="5" t="n">
        <x:v>1987.866666666667</x:v>
      </x:c>
      <x:c r="L19" s="5" t="n">
        <x:v>2223.033333333333</x:v>
      </x:c>
      <x:c r="M19" s="5" t="n">
        <x:v>2264.366666666667</x:v>
      </x:c>
      <x:c r="N19" s="5" t="n">
        <x:v>2452.133333333333</x:v>
      </x:c>
      <x:c r="O19" s="5" t="n">
        <x:v>2920.9</x:v>
      </x:c>
      <x:c r="P19" s="5" t="n">
        <x:v>2932.233333333333</x:v>
      </x:c>
      <x:c r="Q19" s="5" t="n">
        <x:v>1042.866666666667</x:v>
      </x:c>
      <x:c r="R19" s="5" t="n">
        <x:v>1493.066666666667</x:v>
      </x:c>
      <x:c r="S19" s="5" t="n">
        <x:v>296.3666666666667</x:v>
      </x:c>
      <x:c r="T19" s="5" t="n">
        <x:v>67.76666666666667</x:v>
      </x:c>
      <x:c r="U19" s="5" t="n">
        <x:v>9.300000000000001</x:v>
      </x:c>
      <x:c r="V19" s="5" t="n">
        <x:v>22.86666666666667</x:v>
      </x:c>
      <x:c r="W19" s="5" t="n">
        <x:v>0.3556560983095934</x:v>
      </x:c>
      <x:c r="X19" s="5" t="n">
        <x:v>0.5091909466049769</x:v>
      </x:c>
      <x:c r="Y19" s="5" t="n">
        <x:v>0.1010719929064308</x:v>
      </x:c>
      <x:c r="Z19" s="5" t="n">
        <x:v>0.0231109393295213</x:v>
      </x:c>
      <x:c r="AA19" s="5" t="n">
        <x:v>0.003171643911921517</x:v>
      </x:c>
      <x:c r="AB19" s="5" t="n">
        <x:v>0.00779837893755613</x:v>
      </x:c>
      <x:c r="AC19" s="5" t="n">
        <x:v>1012.766666666667</x:v>
      </x:c>
      <x:c r="AD19" s="5" t="n">
        <x:v>783.2666666666667</x:v>
      </x:c>
      <x:c r="AE19" s="5" t="n">
        <x:v>739.8666666666667</x:v>
      </x:c>
      <x:c r="AF19" s="5" t="n">
        <x:v>365.2</x:v>
      </x:c>
      <x:c r="AG19" s="5" t="n">
        <x:v>0.8</x:v>
      </x:c>
      <x:c r="AH19" s="5" t="n">
        <x:v>30.33333333333333</x:v>
      </x:c>
      <x:c r="AI19" s="5" t="n">
        <x:v>0.3453908852183205</x:v>
      </x:c>
      <x:c r="AJ19" s="5" t="n">
        <x:v>0.2671228983596121</x:v>
      </x:c>
      <x:c r="AK19" s="5" t="n">
        <x:v>0.2523218934373118</x:v>
      </x:c>
      <x:c r="AL19" s="5" t="n">
        <x:v>0.1245467050143804</x:v>
      </x:c>
      <x:c r="AM19" s="5" t="n">
        <x:v>0.0002728295838212057</x:v>
      </x:c>
      <x:c r="AN19" s="5" t="n">
        <x:v>0.01034478838655405</x:v>
      </x:c>
    </x:row>
    <x:row r="20">
      <x:c r="A20" s="3" t="n">
        <x:v>10000802</x:v>
      </x:c>
      <x:c r="B20" s="3" t="n">
        <x:v>202308</x:v>
      </x:c>
      <x:c r="C20" s="5" t="n">
        <x:v>1889.3</x:v>
      </x:c>
      <x:c r="D20" s="5" t="n">
        <x:v>1637.633333333333</x:v>
      </x:c>
      <x:c r="E20" s="5" t="n">
        <x:v>1143.666666666667</x:v>
      </x:c>
      <x:c r="F20" s="5" t="n">
        <x:v>1060.9</x:v>
      </x:c>
      <x:c r="G20" s="5" t="n">
        <x:v>1127.066666666667</x:v>
      </x:c>
      <x:c r="H20" s="5" t="n">
        <x:v>1305.5</x:v>
      </x:c>
      <x:c r="I20" s="5" t="n">
        <x:v>1195.966666666667</x:v>
      </x:c>
      <x:c r="J20" s="5" t="n">
        <x:v>1171.266666666667</x:v>
      </x:c>
      <x:c r="K20" s="5" t="n">
        <x:v>1380.033333333333</x:v>
      </x:c>
      <x:c r="L20" s="5" t="n">
        <x:v>1517.833333333333</x:v>
      </x:c>
      <x:c r="M20" s="5" t="n">
        <x:v>1527.033333333333</x:v>
      </x:c>
      <x:c r="N20" s="5" t="n">
        <x:v>1619.2</x:v>
      </x:c>
      <x:c r="O20" s="5" t="n">
        <x:v>1949.4</x:v>
      </x:c>
      <x:c r="P20" s="5" t="n">
        <x:v>1889.3</x:v>
      </x:c>
      <x:c r="Q20" s="5" t="n">
        <x:v>762.9333333333333</x:v>
      </x:c>
      <x:c r="R20" s="5" t="n">
        <x:v>880.7333333333333</x:v>
      </x:c>
      <x:c r="S20" s="5" t="n">
        <x:v>183.7333333333333</x:v>
      </x:c>
      <x:c r="T20" s="5" t="n">
        <x:v>43.1</x:v>
      </x:c>
      <x:c r="U20" s="5" t="n">
        <x:v>6.033333333333333</x:v>
      </x:c>
      <x:c r="V20" s="5" t="n">
        <x:v>12.76666666666667</x:v>
      </x:c>
      <x:c r="W20" s="5" t="n">
        <x:v>0.4038179925545616</x:v>
      </x:c>
      <x:c r="X20" s="5" t="n">
        <x:v>0.4661691278956933</x:v>
      </x:c>
      <x:c r="Y20" s="5" t="n">
        <x:v>0.09724942218458335</x:v>
      </x:c>
      <x:c r="Z20" s="5" t="n">
        <x:v>0.02281268194569417</x:v>
      </x:c>
      <x:c r="AA20" s="5" t="n">
        <x:v>0.003193422608020607</x:v>
      </x:c>
      <x:c r="AB20" s="5" t="n">
        <x:v>0.006757352811446921</x:v>
      </x:c>
      <x:c r="AC20" s="5" t="n">
        <x:v>1025.7</x:v>
      </x:c>
      <x:c r="AD20" s="5" t="n">
        <x:v>440.5333333333334</x:v>
      </x:c>
      <x:c r="AE20" s="5" t="n">
        <x:v>283.1666666666667</x:v>
      </x:c>
      <x:c r="AF20" s="5" t="n">
        <x:v>109.8666666666667</x:v>
      </x:c>
      <x:c r="AG20" s="5" t="n">
        <x:v>0.7</x:v>
      </x:c>
      <x:c r="AH20" s="5" t="n">
        <x:v>29.33333333333333</x:v>
      </x:c>
      <x:c r="AI20" s="5" t="n">
        <x:v>0.5428994865823321</x:v>
      </x:c>
      <x:c r="AJ20" s="5" t="n">
        <x:v>0.2331727800419909</x:v>
      </x:c>
      <x:c r="AK20" s="5" t="n">
        <x:v>0.1498791439510224</x:v>
      </x:c>
      <x:c r="AL20" s="5" t="n">
        <x:v>0.05815204925986697</x:v>
      </x:c>
      <x:c r="AM20" s="5" t="n">
        <x:v>0.0003705075954057058</x:v>
      </x:c>
      <x:c r="AN20" s="5" t="n">
        <x:v>0.01552603256938196</x:v>
      </x:c>
    </x:row>
    <x:row r="21">
      <x:c r="A21" s="3" t="n">
        <x:v>10000822</x:v>
      </x:c>
      <x:c r="B21" s="3" t="n">
        <x:v>202309</x:v>
      </x:c>
      <x:c r="C21" s="5" t="n">
        <x:v>1515.4</x:v>
      </x:c>
      <x:c r="D21" s="5" t="n">
        <x:v>1266.633333333333</x:v>
      </x:c>
      <x:c r="E21" s="5" t="n">
        <x:v>837.3333333333334</x:v>
      </x:c>
      <x:c r="F21" s="5" t="n">
        <x:v>927.4333333333333</x:v>
      </x:c>
      <x:c r="G21" s="5" t="n">
        <x:v>947.9666666666667</x:v>
      </x:c>
      <x:c r="H21" s="5" t="n">
        <x:v>856.9666666666667</x:v>
      </x:c>
      <x:c r="I21" s="5" t="n">
        <x:v>1085.233333333333</x:v>
      </x:c>
      <x:c r="J21" s="5" t="n">
        <x:v>1153.266666666667</x:v>
      </x:c>
      <x:c r="K21" s="5" t="n">
        <x:v>1164.966666666667</x:v>
      </x:c>
      <x:c r="L21" s="5" t="n">
        <x:v>1248.6</x:v>
      </x:c>
      <x:c r="M21" s="5" t="n">
        <x:v>1514.733333333333</x:v>
      </x:c>
      <x:c r="N21" s="5" t="n">
        <x:v>1726.066666666667</x:v>
      </x:c>
      <x:c r="O21" s="5" t="n">
        <x:v>1696.133333333333</x:v>
      </x:c>
      <x:c r="P21" s="5" t="n">
        <x:v>1515.4</x:v>
      </x:c>
      <x:c r="Q21" s="5" t="n">
        <x:v>640.9333333333333</x:v>
      </x:c>
      <x:c r="R21" s="5" t="n">
        <x:v>682.3</x:v>
      </x:c>
      <x:c r="S21" s="5" t="n">
        <x:v>152.1666666666667</x:v>
      </x:c>
      <x:c r="T21" s="5" t="n">
        <x:v>36.1</x:v>
      </x:c>
      <x:c r="U21" s="5" t="n">
        <x:v>1.966666666666667</x:v>
      </x:c>
      <x:c r="V21" s="5" t="n">
        <x:v>1.933333333333333</x:v>
      </x:c>
      <x:c r="W21" s="5" t="n">
        <x:v>0.4229466367515727</x:v>
      </x:c>
      <x:c r="X21" s="5" t="n">
        <x:v>0.4502441599577668</x:v>
      </x:c>
      <x:c r="Y21" s="5" t="n">
        <x:v>0.1004135321807224</x:v>
      </x:c>
      <x:c r="Z21" s="5" t="n">
        <x:v>0.02382209317671902</x:v>
      </x:c>
      <x:c r="AA21" s="5" t="n">
        <x:v>0.001297787162905283</x:v>
      </x:c>
      <x:c r="AB21" s="5" t="n">
        <x:v>0.001275790770313668</x:v>
      </x:c>
      <x:c r="AC21" s="5" t="n">
        <x:v>268.5</x:v>
      </x:c>
      <x:c r="AD21" s="5" t="n">
        <x:v>347.1</x:v>
      </x:c>
      <x:c r="AE21" s="5" t="n">
        <x:v>722.6666666666666</x:v>
      </x:c>
      <x:c r="AF21" s="5" t="n">
        <x:v>147.4666666666667</x:v>
      </x:c>
      <x:c r="AG21" s="5" t="n">
        <x:v>0.5333333333333333</x:v>
      </x:c>
      <x:c r="AH21" s="5" t="n">
        <x:v>29.13333333333333</x:v>
      </x:c>
      <x:c r="AI21" s="5" t="n">
        <x:v>0.1771809423254586</x:v>
      </x:c>
      <x:c r="AJ21" s="5" t="n">
        <x:v>0.2290484360564867</x:v>
      </x:c>
      <x:c r="AK21" s="5" t="n">
        <x:v>0.4768817913862126</x:v>
      </x:c>
      <x:c r="AL21" s="5" t="n">
        <x:v>0.09731204082530465</x:v>
      </x:c>
      <x:c r="AM21" s="5" t="n">
        <x:v>0.0003519422814658396</x:v>
      </x:c>
      <x:c r="AN21" s="5" t="n">
        <x:v>0.01922484712507149</x:v>
      </x:c>
    </x:row>
    <x:row r="22">
      <x:c r="A22" s="3" t="n">
        <x:v>10000839</x:v>
      </x:c>
      <x:c r="B22" s="3" t="n">
        <x:v>202309</x:v>
      </x:c>
      <x:c r="C22" s="5" t="n">
        <x:v>1922.666666666667</x:v>
      </x:c>
      <x:c r="D22" s="5" t="n">
        <x:v>1802.4</x:v>
      </x:c>
      <x:c r="E22" s="5" t="n">
        <x:v>1173.6</x:v>
      </x:c>
      <x:c r="F22" s="5" t="n">
        <x:v>1381.3</x:v>
      </x:c>
      <x:c r="G22" s="5" t="n">
        <x:v>1129.6</x:v>
      </x:c>
      <x:c r="H22" s="3" t="n">
        <x:v>1012</x:v>
      </x:c>
      <x:c r="I22" s="5" t="n">
        <x:v>1443.233333333333</x:v>
      </x:c>
      <x:c r="J22" s="5" t="n">
        <x:v>1769.266666666667</x:v>
      </x:c>
      <x:c r="K22" s="5" t="n">
        <x:v>1777.433333333333</x:v>
      </x:c>
      <x:c r="L22" s="5" t="n">
        <x:v>1824.766666666667</x:v>
      </x:c>
      <x:c r="M22" s="5" t="n">
        <x:v>2011.933333333333</x:v>
      </x:c>
      <x:c r="N22" s="5" t="n">
        <x:v>2236.433333333333</x:v>
      </x:c>
      <x:c r="O22" s="5" t="n">
        <x:v>2163.633333333333</x:v>
      </x:c>
      <x:c r="P22" s="5" t="n">
        <x:v>1922.666666666667</x:v>
      </x:c>
      <x:c r="Q22" s="5" t="n">
        <x:v>1032.666666666667</x:v>
      </x:c>
      <x:c r="R22" s="5" t="n">
        <x:v>736.7</x:v>
      </x:c>
      <x:c r="S22" s="5" t="n">
        <x:v>123.9</x:v>
      </x:c>
      <x:c r="T22" s="5" t="n">
        <x:v>23.86666666666667</x:v>
      </x:c>
      <x:c r="U22" s="5" t="n">
        <x:v>3.233333333333333</x:v>
      </x:c>
      <x:c r="V22" s="5" t="n">
        <x:v>2.3</x:v>
      </x:c>
      <x:c r="W22" s="5" t="n">
        <x:v>0.5371012482662968</x:v>
      </x:c>
      <x:c r="X22" s="5" t="n">
        <x:v>0.3831657420249653</x:v>
      </x:c>
      <x:c r="Y22" s="5" t="n">
        <x:v>0.06444174757281554</x:v>
      </x:c>
      <x:c r="Z22" s="5" t="n">
        <x:v>0.01241331484049931</x:v>
      </x:c>
      <x:c r="AA22" s="5" t="n">
        <x:v>0.001681692094313454</x:v>
      </x:c>
      <x:c r="AB22" s="5" t="n">
        <x:v>0.00119625520110957</x:v>
      </x:c>
      <x:c r="AC22" s="5" t="n">
        <x:v>849.9</x:v>
      </x:c>
      <x:c r="AD22" s="5" t="n">
        <x:v>549.3</x:v>
      </x:c>
      <x:c r="AE22" s="5" t="n">
        <x:v>428.1</x:v>
      </x:c>
      <x:c r="AF22" s="5" t="n">
        <x:v>73.2</x:v>
      </x:c>
      <x:c r="AG22" s="3" t="n">
        <x:v>0</x:v>
      </x:c>
      <x:c r="AH22" s="5" t="n">
        <x:v>22.16666666666667</x:v>
      </x:c>
      <x:c r="AI22" s="5" t="n">
        <x:v>0.4420423023578363</x:v>
      </x:c>
      <x:c r="AJ22" s="5" t="n">
        <x:v>0.2856969486823855</x:v>
      </x:c>
      <x:c r="AK22" s="5" t="n">
        <x:v>0.2226595006934813</x:v>
      </x:c>
      <x:c r="AL22" s="5" t="n">
        <x:v>0.03807212205270458</x:v>
      </x:c>
      <x:c r="AM22" s="3" t="n">
        <x:v>0</x:v>
      </x:c>
      <x:c r="AN22" s="5" t="n">
        <x:v>0.01152912621359223</x:v>
      </x:c>
    </x:row>
    <x:row r="23">
      <x:c r="A23" s="3" t="n">
        <x:v>10000843</x:v>
      </x:c>
      <x:c r="B23" s="3" t="n">
        <x:v>202309</x:v>
      </x:c>
      <x:c r="C23" s="5" t="n">
        <x:v>1358.766666666667</x:v>
      </x:c>
      <x:c r="D23" s="5" t="n">
        <x:v>1392.3</x:v>
      </x:c>
      <x:c r="E23" s="5" t="n">
        <x:v>944.4666666666667</x:v>
      </x:c>
      <x:c r="F23" s="5" t="n">
        <x:v>922.0666666666667</x:v>
      </x:c>
      <x:c r="G23" s="5" t="n">
        <x:v>882.1333333333333</x:v>
      </x:c>
      <x:c r="H23" s="5" t="n">
        <x:v>831.1333333333333</x:v>
      </x:c>
      <x:c r="I23" s="5" t="n">
        <x:v>1018.7</x:v>
      </x:c>
      <x:c r="J23" s="5" t="n">
        <x:v>1278.233333333333</x:v>
      </x:c>
      <x:c r="K23" s="5" t="n">
        <x:v>1114.1</x:v>
      </x:c>
      <x:c r="L23" s="5" t="n">
        <x:v>1217.166666666667</x:v>
      </x:c>
      <x:c r="M23" s="5" t="n">
        <x:v>1466.566666666667</x:v>
      </x:c>
      <x:c r="N23" s="5" t="n">
        <x:v>1609.466666666667</x:v>
      </x:c>
      <x:c r="O23" s="5" t="n">
        <x:v>1582.933333333333</x:v>
      </x:c>
      <x:c r="P23" s="5" t="n">
        <x:v>1358.766666666667</x:v>
      </x:c>
      <x:c r="Q23" s="5" t="n">
        <x:v>388.2666666666667</x:v>
      </x:c>
      <x:c r="R23" s="5" t="n">
        <x:v>687.2</x:v>
      </x:c>
      <x:c r="S23" s="5" t="n">
        <x:v>222.0666666666667</x:v>
      </x:c>
      <x:c r="T23" s="5" t="n">
        <x:v>54.6</x:v>
      </x:c>
      <x:c r="U23" s="5" t="n">
        <x:v>4.4</x:v>
      </x:c>
      <x:c r="V23" s="5" t="n">
        <x:v>2.233333333333333</x:v>
      </x:c>
      <x:c r="W23" s="5" t="n">
        <x:v>0.2857493315016069</x:v>
      </x:c>
      <x:c r="X23" s="5" t="n">
        <x:v>0.5057527659887644</x:v>
      </x:c>
      <x:c r="Y23" s="5" t="n">
        <x:v>0.1634325245933813</x:v>
      </x:c>
      <x:c r="Z23" s="5" t="n">
        <x:v>0.04018349974241346</x:v>
      </x:c>
      <x:c r="AA23" s="5" t="n">
        <x:v>0.00323823074847288</x:v>
      </x:c>
      <x:c r="AB23" s="5" t="n">
        <x:v>0.001643647425361235</x:v>
      </x:c>
      <x:c r="AC23" s="5" t="n">
        <x:v>370.1666666666667</x:v>
      </x:c>
      <x:c r="AD23" s="5" t="n">
        <x:v>171.5</x:v>
      </x:c>
      <x:c r="AE23" s="5" t="n">
        <x:v>384.4333333333333</x:v>
      </x:c>
      <x:c r="AF23" s="5" t="n">
        <x:v>395.4666666666666</x:v>
      </x:c>
      <x:c r="AG23" s="5" t="n">
        <x:v>15.36666666666667</x:v>
      </x:c>
      <x:c r="AH23" s="5" t="n">
        <x:v>21.83333333333333</x:v>
      </x:c>
      <x:c r="AI23" s="5" t="n">
        <x:v>0.2724284277408434</x:v>
      </x:c>
      <x:c r="AJ23" s="5" t="n">
        <x:v>0.1262174030370679</x:v>
      </x:c>
      <x:c r="AK23" s="5" t="n">
        <x:v>0.2829281456222555</x:v>
      </x:c>
      <x:c r="AL23" s="5" t="n">
        <x:v>0.2910482545445625</x:v>
      </x:c>
      <x:c r="AM23" s="5" t="n">
        <x:v>0.01130927556853029</x:v>
      </x:c>
      <x:c r="AN23" s="5" t="n">
        <x:v>0.01606849348674043</x:v>
      </x:c>
    </x:row>
    <x:row r="24">
      <x:c r="A24" s="3" t="n">
        <x:v>10000849</x:v>
      </x:c>
      <x:c r="B24" s="3" t="n">
        <x:v>202309</x:v>
      </x:c>
      <x:c r="C24" s="5" t="n">
        <x:v>2225.633333333333</x:v>
      </x:c>
      <x:c r="D24" s="5" t="n">
        <x:v>2124.866666666667</x:v>
      </x:c>
      <x:c r="E24" s="5" t="n">
        <x:v>1539.366666666667</x:v>
      </x:c>
      <x:c r="F24" s="5" t="n">
        <x:v>1594.333333333333</x:v>
      </x:c>
      <x:c r="G24" s="5" t="n">
        <x:v>1510.6</x:v>
      </x:c>
      <x:c r="H24" s="5" t="n">
        <x:v>1402.433333333333</x:v>
      </x:c>
      <x:c r="I24" s="3" t="n">
        <x:v>1712</x:v>
      </x:c>
      <x:c r="J24" s="5" t="n">
        <x:v>1881.2</x:v>
      </x:c>
      <x:c r="K24" s="5" t="n">
        <x:v>1911.166666666667</x:v>
      </x:c>
      <x:c r="L24" s="5" t="n">
        <x:v>2104.066666666667</x:v>
      </x:c>
      <x:c r="M24" s="5" t="n">
        <x:v>2438.8</x:v>
      </x:c>
      <x:c r="N24" s="5" t="n">
        <x:v>2677.7</x:v>
      </x:c>
      <x:c r="O24" s="5" t="n">
        <x:v>2604.066666666667</x:v>
      </x:c>
      <x:c r="P24" s="5" t="n">
        <x:v>2225.633333333333</x:v>
      </x:c>
      <x:c r="Q24" s="5" t="n">
        <x:v>918.4666666666667</x:v>
      </x:c>
      <x:c r="R24" s="5" t="n">
        <x:v>1036.366666666667</x:v>
      </x:c>
      <x:c r="S24" s="5" t="n">
        <x:v>221.6666666666667</x:v>
      </x:c>
      <x:c r="T24" s="5" t="n">
        <x:v>43.2</x:v>
      </x:c>
      <x:c r="U24" s="5" t="n">
        <x:v>3.133333333333333</x:v>
      </x:c>
      <x:c r="V24" s="5" t="n">
        <x:v>2.8</x:v>
      </x:c>
      <x:c r="W24" s="5" t="n">
        <x:v>0.4126765415087841</x:v>
      </x:c>
      <x:c r="X24" s="5" t="n">
        <x:v>0.4656502269017059</x:v>
      </x:c>
      <x:c r="Y24" s="5" t="n">
        <x:v>0.09959711842322036</x:v>
      </x:c>
      <x:c r="Z24" s="5" t="n">
        <x:v>0.01941020533481107</x:v>
      </x:c>
      <x:c r="AA24" s="5" t="n">
        <x:v>0.00140783896718537</x:v>
      </x:c>
      <x:c r="AB24" s="5" t="n">
        <x:v>0.00125806886429331</x:v>
      </x:c>
      <x:c r="AC24" s="5" t="n">
        <x:v>1028.1</x:v>
      </x:c>
      <x:c r="AD24" s="3" t="n">
        <x:v>529</x:v>
      </x:c>
      <x:c r="AE24" s="5" t="n">
        <x:v>446.8</x:v>
      </x:c>
      <x:c r="AF24" s="5" t="n">
        <x:v>171.3666666666667</x:v>
      </x:c>
      <x:c r="AG24" s="5" t="n">
        <x:v>27.16666666666667</x:v>
      </x:c>
      <x:c r="AH24" s="5" t="n">
        <x:v>23.2</x:v>
      </x:c>
      <x:c r="AI24" s="5" t="n">
        <x:v>0.4619359283499828</x:v>
      </x:c>
      <x:c r="AJ24" s="5" t="n">
        <x:v>0.2376851532897003</x:v>
      </x:c>
      <x:c r="AK24" s="5" t="n">
        <x:v>0.2007518459165182</x:v>
      </x:c>
      <x:c r="AL24" s="5" t="n">
        <x:v>0.0769968098968084</x:v>
      </x:c>
      <x:c r="AM24" s="5" t="n">
        <x:v>0.01220626338570295</x:v>
      </x:c>
      <x:c r="AN24" s="5" t="n">
        <x:v>0.01042399916128742</x:v>
      </x:c>
    </x:row>
    <x:row r="25">
      <x:c r="A25" s="3" t="n">
        <x:v>10000861</x:v>
      </x:c>
      <x:c r="B25" s="3" t="n">
        <x:v>202310</x:v>
      </x:c>
      <x:c r="C25" s="5" t="n">
        <x:v>2297.566666666667</x:v>
      </x:c>
      <x:c r="D25" s="5" t="n">
        <x:v>2138.166666666667</x:v>
      </x:c>
      <x:c r="E25" s="5" t="n">
        <x:v>1380.9</x:v>
      </x:c>
      <x:c r="F25" s="5" t="n">
        <x:v>1385.233333333333</x:v>
      </x:c>
      <x:c r="G25" s="5" t="n">
        <x:v>1189.566666666667</x:v>
      </x:c>
      <x:c r="H25" s="5" t="n">
        <x:v>1500.533333333333</x:v>
      </x:c>
      <x:c r="I25" s="5" t="n">
        <x:v>1745.466666666667</x:v>
      </x:c>
      <x:c r="J25" s="5" t="n">
        <x:v>1763.333333333333</x:v>
      </x:c>
      <x:c r="K25" s="5" t="n">
        <x:v>1915.666666666667</x:v>
      </x:c>
      <x:c r="L25" s="3" t="n">
        <x:v>2270</x:v>
      </x:c>
      <x:c r="M25" s="5" t="n">
        <x:v>2555.466666666667</x:v>
      </x:c>
      <x:c r="N25" s="3" t="n">
        <x:v>2629</x:v>
      </x:c>
      <x:c r="O25" s="5" t="n">
        <x:v>2300.933333333333</x:v>
      </x:c>
      <x:c r="P25" s="5" t="n">
        <x:v>2297.566666666667</x:v>
      </x:c>
      <x:c r="Q25" s="5" t="n">
        <x:v>1258.233333333333</x:v>
      </x:c>
      <x:c r="R25" s="5" t="n">
        <x:v>880.8333333333334</x:v>
      </x:c>
      <x:c r="S25" s="5" t="n">
        <x:v>131.4333333333333</x:v>
      </x:c>
      <x:c r="T25" s="3" t="n">
        <x:v>22</x:v>
      </x:c>
      <x:c r="U25" s="5" t="n">
        <x:v>2.266666666666667</x:v>
      </x:c>
      <x:c r="V25" s="5" t="n">
        <x:v>2.8</x:v>
      </x:c>
      <x:c r="W25" s="5" t="n">
        <x:v>0.5476373554630262</x:v>
      </x:c>
      <x:c r="X25" s="5" t="n">
        <x:v>0.3833766158399466</x:v>
      </x:c>
      <x:c r="Y25" s="5" t="n">
        <x:v>0.05720544924340244</x:v>
      </x:c>
      <x:c r="Z25" s="5" t="n">
        <x:v>0.009575347831764041</x:v>
      </x:c>
      <x:c r="AA25" s="5" t="n">
        <x:v>0.0009865509887272042</x:v>
      </x:c>
      <x:c r="AB25" s="5" t="n">
        <x:v>0.001218680633133605</x:v>
      </x:c>
      <x:c r="AC25" s="5" t="n">
        <x:v>866.6666666666666</x:v>
      </x:c>
      <x:c r="AD25" s="5" t="n">
        <x:v>626.5666666666667</x:v>
      </x:c>
      <x:c r="AE25" s="5" t="n">
        <x:v>456.3</x:v>
      </x:c>
      <x:c r="AF25" s="5" t="n">
        <x:v>311.6</x:v>
      </x:c>
      <x:c r="AG25" s="5" t="n">
        <x:v>3.3</x:v>
      </x:c>
      <x:c r="AH25" s="5" t="n">
        <x:v>33.13333333333333</x:v>
      </x:c>
      <x:c r="AI25" s="5" t="n">
        <x:v>0.3772106721604016</x:v>
      </x:c>
      <x:c r="AJ25" s="5" t="n">
        <x:v>0.272708807869195</x:v>
      </x:c>
      <x:c r="AK25" s="5" t="n">
        <x:v>0.1986014188924514</x:v>
      </x:c>
      <x:c r="AL25" s="5" t="n">
        <x:v>0.1356217447444398</x:v>
      </x:c>
      <x:c r="AM25" s="5" t="n">
        <x:v>0.001436302174764606</x:v>
      </x:c>
      <x:c r="AN25" s="5" t="n">
        <x:v>0.01442105415874766</x:v>
      </x:c>
    </x:row>
    <x:row r="26">
      <x:c r="A26" s="3" t="n">
        <x:v>10000867</x:v>
      </x:c>
      <x:c r="B26" s="3" t="n">
        <x:v>202310</x:v>
      </x:c>
      <x:c r="C26" s="5" t="n">
        <x:v>1332.3</x:v>
      </x:c>
      <x:c r="D26" s="5" t="n">
        <x:v>1700.8</x:v>
      </x:c>
      <x:c r="E26" s="5" t="n">
        <x:v>928.9333333333333</x:v>
      </x:c>
      <x:c r="F26" s="5" t="n">
        <x:v>886.7</x:v>
      </x:c>
      <x:c r="G26" s="5" t="n">
        <x:v>810.9333333333333</x:v>
      </x:c>
      <x:c r="H26" s="5" t="n">
        <x:v>967.5333333333333</x:v>
      </x:c>
      <x:c r="I26" s="5" t="n">
        <x:v>986.1666666666666</x:v>
      </x:c>
      <x:c r="J26" s="5" t="n">
        <x:v>986.4666666666667</x:v>
      </x:c>
      <x:c r="K26" s="5" t="n">
        <x:v>1145.2</x:v>
      </x:c>
      <x:c r="L26" s="5" t="n">
        <x:v>1393.866666666667</x:v>
      </x:c>
      <x:c r="M26" s="5" t="n">
        <x:v>1510.133333333333</x:v>
      </x:c>
      <x:c r="N26" s="3" t="n">
        <x:v>1464</x:v>
      </x:c>
      <x:c r="O26" s="5" t="n">
        <x:v>1329.866666666667</x:v>
      </x:c>
      <x:c r="P26" s="5" t="n">
        <x:v>1332.3</x:v>
      </x:c>
      <x:c r="Q26" s="5" t="n">
        <x:v>603.3666666666667</x:v>
      </x:c>
      <x:c r="R26" s="3" t="n">
        <x:v>588</x:v>
      </x:c>
      <x:c r="S26" s="5" t="n">
        <x:v>115.1666666666667</x:v>
      </x:c>
      <x:c r="T26" s="5" t="n">
        <x:v>19.66666666666667</x:v>
      </x:c>
      <x:c r="U26" s="5" t="n">
        <x:v>1.8</x:v>
      </x:c>
      <x:c r="V26" s="5" t="n">
        <x:v>4.3</x:v>
      </x:c>
      <x:c r="W26" s="5" t="n">
        <x:v>0.4528759788836348</x:v>
      </x:c>
      <x:c r="X26" s="5" t="n">
        <x:v>0.4413420400810628</x:v>
      </x:c>
      <x:c r="Y26" s="5" t="n">
        <x:v>0.08644199254422177</x:v>
      </x:c>
      <x:c r="Z26" s="5" t="n">
        <x:v>0.01476144011608997</x:v>
      </x:c>
      <x:c r="AA26" s="5" t="n">
        <x:v>0.001351047061472641</x:v>
      </x:c>
      <x:c r="AB26" s="5" t="n">
        <x:v>0.003227501313517977</x:v>
      </x:c>
      <x:c r="AC26" s="5" t="n">
        <x:v>625.8</x:v>
      </x:c>
      <x:c r="AD26" s="5" t="n">
        <x:v>376.6666666666667</x:v>
      </x:c>
      <x:c r="AE26" s="5" t="n">
        <x:v>228.3</x:v>
      </x:c>
      <x:c r="AF26" s="5" t="n">
        <x:v>77.83333333333333</x:v>
      </x:c>
      <x:c r="AG26" s="3" t="n">
        <x:v>1</x:v>
      </x:c>
      <x:c r="AH26" s="5" t="n">
        <x:v>22.7</x:v>
      </x:c>
      <x:c r="AI26" s="5" t="n">
        <x:v>0.4697140283719883</x:v>
      </x:c>
      <x:c r="AJ26" s="5" t="n">
        <x:v>0.2827191073081639</x:v>
      </x:c>
      <x:c r="AK26" s="5" t="n">
        <x:v>0.17135780229678</x:v>
      </x:c>
      <x:c r="AL26" s="5" t="n">
        <x:v>0.0584202757136781</x:v>
      </x:c>
      <x:c r="AM26" s="5" t="n">
        <x:v>0.0007505817008181341</x:v>
      </x:c>
      <x:c r="AN26" s="5" t="n">
        <x:v>0.01703820460857164</x:v>
      </x:c>
    </x:row>
    <x:row r="27">
      <x:c r="A27" s="3" t="n">
        <x:v>10000868</x:v>
      </x:c>
      <x:c r="B27" s="3" t="n">
        <x:v>202311</x:v>
      </x:c>
      <x:c r="C27" s="5" t="n">
        <x:v>1252.5</x:v>
      </x:c>
      <x:c r="D27" s="5" t="n">
        <x:v>1611.166666666667</x:v>
      </x:c>
      <x:c r="E27" s="5" t="n">
        <x:v>905.4666666666667</x:v>
      </x:c>
      <x:c r="F27" s="5" t="n">
        <x:v>852.9</x:v>
      </x:c>
      <x:c r="G27" s="5" t="n">
        <x:v>900.7</x:v>
      </x:c>
      <x:c r="H27" s="5" t="n">
        <x:v>1162.1</x:v>
      </x:c>
      <x:c r="I27" s="5" t="n">
        <x:v>1183.766666666667</x:v>
      </x:c>
      <x:c r="J27" s="5" t="n">
        <x:v>1178.533333333333</x:v>
      </x:c>
      <x:c r="K27" s="5" t="n">
        <x:v>1294.8</x:v>
      </x:c>
      <x:c r="L27" s="5" t="n">
        <x:v>1501.766666666667</x:v>
      </x:c>
      <x:c r="M27" s="5" t="n">
        <x:v>1434.1</x:v>
      </x:c>
      <x:c r="N27" s="5" t="n">
        <x:v>1365.1</x:v>
      </x:c>
      <x:c r="O27" s="5" t="n">
        <x:v>1323.533333333333</x:v>
      </x:c>
      <x:c r="P27" s="5" t="n">
        <x:v>1252.5</x:v>
      </x:c>
      <x:c r="Q27" s="5" t="n">
        <x:v>571.4333333333333</x:v>
      </x:c>
      <x:c r="R27" s="5" t="n">
        <x:v>571.6333333333333</x:v>
      </x:c>
      <x:c r="S27" s="5" t="n">
        <x:v>94.53333333333333</x:v>
      </x:c>
      <x:c r="T27" s="5" t="n">
        <x:v>13.43333333333333</x:v>
      </x:c>
      <x:c r="U27" s="5" t="n">
        <x:v>0.7333333333333333</x:v>
      </x:c>
      <x:c r="V27" s="5" t="n">
        <x:v>0.7333333333333333</x:v>
      </x:c>
      <x:c r="W27" s="5" t="n">
        <x:v>0.4562341982701263</x:v>
      </x:c>
      <x:c r="X27" s="5" t="n">
        <x:v>0.456393878908849</x:v>
      </x:c>
      <x:c r="Y27" s="5" t="n">
        <x:v>0.07547571523619427</x:v>
      </x:c>
      <x:c r="Z27" s="5" t="n">
        <x:v>0.01072521623419827</x:v>
      </x:c>
      <x:c r="AA27" s="5" t="n">
        <x:v>0.0005854956753160345</x:v>
      </x:c>
      <x:c r="AB27" s="5" t="n">
        <x:v>0.0005854956753160345</x:v>
      </x:c>
      <x:c r="AC27" s="5" t="n">
        <x:v>598.6333333333333</x:v>
      </x:c>
      <x:c r="AD27" s="5" t="n">
        <x:v>256.3</x:v>
      </x:c>
      <x:c r="AE27" s="5" t="n">
        <x:v>189.4333333333333</x:v>
      </x:c>
      <x:c r="AF27" s="5" t="n">
        <x:v>192.2666666666667</x:v>
      </x:c>
      <x:c r="AG27" s="5" t="n">
        <x:v>1.3</x:v>
      </x:c>
      <x:c r="AH27" s="5" t="n">
        <x:v>14.56666666666667</x:v>
      </x:c>
      <x:c r="AI27" s="5" t="n">
        <x:v>0.4779507651363939</x:v>
      </x:c>
      <x:c r="AJ27" s="5" t="n">
        <x:v>0.2046307385229541</x:v>
      </x:c>
      <x:c r="AK27" s="5" t="n">
        <x:v>0.1512441783100466</x:v>
      </x:c>
      <x:c r="AL27" s="5" t="n">
        <x:v>0.1535063206919494</x:v>
      </x:c>
      <x:c r="AM27" s="5" t="n">
        <x:v>0.001037924151696607</x:v>
      </x:c>
      <x:c r="AN27" s="5" t="n">
        <x:v>0.01163007318695941</x:v>
      </x:c>
    </x:row>
    <x:row r="28">
      <x:c r="A28" s="3" t="n">
        <x:v>10000869</x:v>
      </x:c>
      <x:c r="B28" s="3" t="n">
        <x:v>202402</x:v>
      </x:c>
      <x:c r="C28" s="5" t="n">
        <x:v>1540.166666666667</x:v>
      </x:c>
      <x:c r="D28" s="5" t="n">
        <x:v>1428.866666666667</x:v>
      </x:c>
      <x:c r="E28" s="5" t="n">
        <x:v>934.4666666666667</x:v>
      </x:c>
      <x:c r="F28" s="5" t="n">
        <x:v>906.9333333333333</x:v>
      </x:c>
      <x:c r="G28" s="5" t="n">
        <x:v>1029.733333333333</x:v>
      </x:c>
      <x:c r="H28" s="5" t="n">
        <x:v>1346.133333333333</x:v>
      </x:c>
      <x:c r="I28" s="5" t="n">
        <x:v>1501.066666666667</x:v>
      </x:c>
      <x:c r="J28" s="5" t="n">
        <x:v>1622.866666666667</x:v>
      </x:c>
      <x:c r="K28" s="5" t="n">
        <x:v>1338.133333333333</x:v>
      </x:c>
      <x:c r="L28" s="5" t="n">
        <x:v>1334.133333333333</x:v>
      </x:c>
      <x:c r="M28" s="5" t="n">
        <x:v>1359.133333333333</x:v>
      </x:c>
      <x:c r="N28" s="5" t="n">
        <x:v>1370.466666666667</x:v>
      </x:c>
      <x:c r="O28" s="5" t="n">
        <x:v>1309.133333333333</x:v>
      </x:c>
      <x:c r="P28" s="5" t="n">
        <x:v>1540.166666666667</x:v>
      </x:c>
      <x:c r="Q28" s="3" t="n">
        <x:v>624</x:v>
      </x:c>
      <x:c r="R28" s="5" t="n">
        <x:v>714.6</x:v>
      </x:c>
      <x:c r="S28" s="5" t="n">
        <x:v>160.3</x:v>
      </x:c>
      <x:c r="T28" s="5" t="n">
        <x:v>36.76666666666667</x:v>
      </x:c>
      <x:c r="U28" s="5" t="n">
        <x:v>3.4</x:v>
      </x:c>
      <x:c r="V28" s="5" t="n">
        <x:v>1.1</x:v>
      </x:c>
      <x:c r="W28" s="5" t="n">
        <x:v>0.4051509576885618</x:v>
      </x:c>
      <x:c r="X28" s="5" t="n">
        <x:v>0.4639757601991126</x:v>
      </x:c>
      <x:c r="Y28" s="5" t="n">
        <x:v>0.1040796450600584</x:v>
      </x:c>
      <x:c r="Z28" s="5" t="n">
        <x:v>0.02387187533816686</x:v>
      </x:c>
      <x:c r="AA28" s="5" t="n">
        <x:v>0.002207553295097933</x:v>
      </x:c>
      <x:c r="AB28" s="5" t="n">
        <x:v>0.0007142084190022725</x:v>
      </x:c>
      <x:c r="AC28" s="5" t="n">
        <x:v>406.6</x:v>
      </x:c>
      <x:c r="AD28" s="5" t="n">
        <x:v>244.7333333333333</x:v>
      </x:c>
      <x:c r="AE28" s="5" t="n">
        <x:v>371.5666666666667</x:v>
      </x:c>
      <x:c r="AF28" s="5" t="n">
        <x:v>483.0333333333334</x:v>
      </x:c>
      <x:c r="AG28" s="5" t="n">
        <x:v>3.866666666666667</x:v>
      </x:c>
      <x:c r="AH28" s="5" t="n">
        <x:v>30.36666666666667</x:v>
      </x:c>
      <x:c r="AI28" s="5" t="n">
        <x:v>0.2639974028784763</x:v>
      </x:c>
      <x:c r="AJ28" s="5" t="n">
        <x:v>0.1589005518883237</x:v>
      </x:c>
      <x:c r="AK28" s="5" t="n">
        <x:v>0.2412509468672221</x:v>
      </x:c>
      <x:c r="AL28" s="5" t="n">
        <x:v>0.3136240666594524</x:v>
      </x:c>
      <x:c r="AM28" s="5" t="n">
        <x:v>0.002510550806189806</x:v>
      </x:c>
      <x:c r="AN28" s="5" t="n">
        <x:v>0.01971648090033546</x:v>
      </x:c>
    </x:row>
    <x:row r="29">
      <x:c r="A29" s="3" t="n">
        <x:v>10000886</x:v>
      </x:c>
      <x:c r="B29" s="3" t="n">
        <x:v>202311</x:v>
      </x:c>
      <x:c r="C29" s="3" t="n">
        <x:v>1710</x:v>
      </x:c>
      <x:c r="D29" s="5" t="n">
        <x:v>2070.8</x:v>
      </x:c>
      <x:c r="E29" s="5" t="n">
        <x:v>1196.866666666667</x:v>
      </x:c>
      <x:c r="F29" s="5" t="n">
        <x:v>1050.9</x:v>
      </x:c>
      <x:c r="G29" s="5" t="n">
        <x:v>1261.5</x:v>
      </x:c>
      <x:c r="H29" s="5" t="n">
        <x:v>1408.166666666667</x:v>
      </x:c>
      <x:c r="I29" s="5" t="n">
        <x:v>1452.366666666667</x:v>
      </x:c>
      <x:c r="J29" s="5" t="n">
        <x:v>1617.8</x:v>
      </x:c>
      <x:c r="K29" s="5" t="n">
        <x:v>1895.8</x:v>
      </x:c>
      <x:c r="L29" s="5" t="n">
        <x:v>2142.3</x:v>
      </x:c>
      <x:c r="M29" s="5" t="n">
        <x:v>2014.133333333333</x:v>
      </x:c>
      <x:c r="N29" s="5" t="n">
        <x:v>1891.3</x:v>
      </x:c>
      <x:c r="O29" s="5" t="n">
        <x:v>1767.233333333333</x:v>
      </x:c>
      <x:c r="P29" s="3" t="n">
        <x:v>1710</x:v>
      </x:c>
      <x:c r="Q29" s="5" t="n">
        <x:v>717.1333333333333</x:v>
      </x:c>
      <x:c r="R29" s="5" t="n">
        <x:v>799.9</x:v>
      </x:c>
      <x:c r="S29" s="5" t="n">
        <x:v>158.2</x:v>
      </x:c>
      <x:c r="T29" s="5" t="n">
        <x:v>30.06666666666667</x:v>
      </x:c>
      <x:c r="U29" s="5" t="n">
        <x:v>2.033333333333333</x:v>
      </x:c>
      <x:c r="V29" s="5" t="n">
        <x:v>2.666666666666667</x:v>
      </x:c>
      <x:c r="W29" s="5" t="n">
        <x:v>0.4193762183235867</x:v>
      </x:c>
      <x:c r="X29" s="5" t="n">
        <x:v>0.4677777777777777</x:v>
      </x:c>
      <x:c r="Y29" s="5" t="n">
        <x:v>0.09251461988304092</x:v>
      </x:c>
      <x:c r="Z29" s="5" t="n">
        <x:v>0.01758284600389863</x:v>
      </x:c>
      <x:c r="AA29" s="5" t="n">
        <x:v>0.001189083820662768</x:v>
      </x:c>
      <x:c r="AB29" s="5" t="n">
        <x:v>0.001559454191033138</x:v>
      </x:c>
      <x:c r="AC29" s="5" t="n">
        <x:v>830.0333333333333</x:v>
      </x:c>
      <x:c r="AD29" s="5" t="n">
        <x:v>475.9333333333333</x:v>
      </x:c>
      <x:c r="AE29" s="5" t="n">
        <x:v>297.2333333333333</x:v>
      </x:c>
      <x:c r="AF29" s="3" t="n">
        <x:v>70</x:v>
      </x:c>
      <x:c r="AG29" s="5" t="n">
        <x:v>11.26666666666667</x:v>
      </x:c>
      <x:c r="AH29" s="5" t="n">
        <x:v>25.53333333333333</x:v>
      </x:c>
      <x:c r="AI29" s="5" t="n">
        <x:v>0.4853996101364522</x:v>
      </x:c>
      <x:c r="AJ29" s="5" t="n">
        <x:v>0.2783235867446394</x:v>
      </x:c>
      <x:c r="AK29" s="5" t="n">
        <x:v>0.1738206627680312</x:v>
      </x:c>
      <x:c r="AL29" s="5" t="n">
        <x:v>0.04093567251461988</x:v>
      </x:c>
      <x:c r="AM29" s="5" t="n">
        <x:v>0.00658869395711501</x:v>
      </x:c>
      <x:c r="AN29" s="5" t="n">
        <x:v>0.0149317738791423</x:v>
      </x:c>
    </x:row>
    <x:row r="30">
      <x:c r="A30" s="3" t="n">
        <x:v>10000888</x:v>
      </x:c>
      <x:c r="B30" s="3" t="n">
        <x:v>202311</x:v>
      </x:c>
      <x:c r="C30" s="5" t="n">
        <x:v>1257.766666666667</x:v>
      </x:c>
      <x:c r="D30" s="5" t="n">
        <x:v>2013.3</x:v>
      </x:c>
      <x:c r="E30" s="5" t="n">
        <x:v>958.1666666666666</x:v>
      </x:c>
      <x:c r="F30" s="5" t="n">
        <x:v>821.9333333333333</x:v>
      </x:c>
      <x:c r="G30" s="5" t="n">
        <x:v>967.4666666666667</x:v>
      </x:c>
      <x:c r="H30" s="5" t="n">
        <x:v>1080.433333333333</x:v>
      </x:c>
      <x:c r="I30" s="5" t="n">
        <x:v>1093.433333333333</x:v>
      </x:c>
      <x:c r="J30" s="5" t="n">
        <x:v>1135.566666666667</x:v>
      </x:c>
      <x:c r="K30" s="5" t="n">
        <x:v>1382.7</x:v>
      </x:c>
      <x:c r="L30" s="5" t="n">
        <x:v>1483.466666666667</x:v>
      </x:c>
      <x:c r="M30" s="5" t="n">
        <x:v>1381.866666666667</x:v>
      </x:c>
      <x:c r="N30" s="5" t="n">
        <x:v>1224.033333333333</x:v>
      </x:c>
      <x:c r="O30" s="5" t="n">
        <x:v>1238.933333333333</x:v>
      </x:c>
      <x:c r="P30" s="5" t="n">
        <x:v>1257.766666666667</x:v>
      </x:c>
      <x:c r="Q30" s="5" t="n">
        <x:v>255.6333333333333</x:v>
      </x:c>
      <x:c r="R30" s="5" t="n">
        <x:v>710.7666666666667</x:v>
      </x:c>
      <x:c r="S30" s="5" t="n">
        <x:v>239.5666666666667</x:v>
      </x:c>
      <x:c r="T30" s="5" t="n">
        <x:v>47.33333333333334</x:v>
      </x:c>
      <x:c r="U30" s="5" t="n">
        <x:v>1.966666666666667</x:v>
      </x:c>
      <x:c r="V30" s="5" t="n">
        <x:v>2.5</x:v>
      </x:c>
      <x:c r="W30" s="5" t="n">
        <x:v>0.2032438449102907</x:v>
      </x:c>
      <x:c r="X30" s="5" t="n">
        <x:v>0.5651021652134736</x:v>
      </x:c>
      <x:c r="Y30" s="5" t="n">
        <x:v>0.1904698804759759</x:v>
      </x:c>
      <x:c r="Z30" s="5" t="n">
        <x:v>0.0376328412795166</x:v>
      </x:c>
      <x:c r="AA30" s="5" t="n">
        <x:v>0.001563618053163014</x:v>
      </x:c>
      <x:c r="AB30" s="5" t="n">
        <x:v>0.001987650067580102</x:v>
      </x:c>
      <x:c r="AC30" s="5" t="n">
        <x:v>184.2</x:v>
      </x:c>
      <x:c r="AD30" s="5" t="n">
        <x:v>587.0666666666667</x:v>
      </x:c>
      <x:c r="AE30" s="5" t="n">
        <x:v>346.6666666666667</x:v>
      </x:c>
      <x:c r="AF30" s="5" t="n">
        <x:v>122.4</x:v>
      </x:c>
      <x:c r="AG30" s="5" t="n">
        <x:v>1.066666666666667</x:v>
      </x:c>
      <x:c r="AH30" s="5" t="n">
        <x:v>16.36666666666667</x:v>
      </x:c>
      <x:c r="AI30" s="5" t="n">
        <x:v>0.1464500569793019</x:v>
      </x:c>
      <x:c r="AJ30" s="5" t="n">
        <x:v>0.4667532398696102</x:v>
      </x:c>
      <x:c r="AK30" s="5" t="n">
        <x:v>0.2756208093711076</x:v>
      </x:c>
      <x:c r="AL30" s="5" t="n">
        <x:v>0.09731534730872181</x:v>
      </x:c>
      <x:c r="AM30" s="5" t="n">
        <x:v>0.000848064028834177</x:v>
      </x:c>
      <x:c r="AN30" s="5" t="n">
        <x:v>0.0130124824424244</x:v>
      </x:c>
    </x:row>
    <x:row r="31">
      <x:c r="A31" s="3" t="n">
        <x:v>10000920</x:v>
      </x:c>
      <x:c r="B31" s="3" t="n">
        <x:v>202312</x:v>
      </x:c>
      <x:c r="C31" s="5" t="n">
        <x:v>1660.766666666667</x:v>
      </x:c>
      <x:c r="D31" s="5" t="n">
        <x:v>2447.433333333333</x:v>
      </x:c>
      <x:c r="E31" s="5" t="n">
        <x:v>1376.3</x:v>
      </x:c>
      <x:c r="F31" s="5" t="n">
        <x:v>1239.1</x:v>
      </x:c>
      <x:c r="G31" s="5" t="n">
        <x:v>1351.466666666667</x:v>
      </x:c>
      <x:c r="H31" s="5" t="n">
        <x:v>1369.433333333333</x:v>
      </x:c>
      <x:c r="I31" s="5" t="n">
        <x:v>1224.333333333333</x:v>
      </x:c>
      <x:c r="J31" s="5" t="n">
        <x:v>1544.666666666667</x:v>
      </x:c>
      <x:c r="K31" s="5" t="n">
        <x:v>1773.1</x:v>
      </x:c>
      <x:c r="L31" s="5" t="n">
        <x:v>1787.8</x:v>
      </x:c>
      <x:c r="M31" s="5" t="n">
        <x:v>1689.166666666667</x:v>
      </x:c>
      <x:c r="N31" s="5" t="n">
        <x:v>1702.866666666667</x:v>
      </x:c>
      <x:c r="O31" s="5" t="n">
        <x:v>1649.8</x:v>
      </x:c>
      <x:c r="P31" s="5" t="n">
        <x:v>1660.766666666667</x:v>
      </x:c>
      <x:c r="Q31" s="5" t="n">
        <x:v>464.4666666666666</x:v>
      </x:c>
      <x:c r="R31" s="5" t="n">
        <x:v>806.2333333333333</x:v>
      </x:c>
      <x:c r="S31" s="5" t="n">
        <x:v>301.3333333333333</x:v>
      </x:c>
      <x:c r="T31" s="5" t="n">
        <x:v>76.59999999999999</x:v>
      </x:c>
      <x:c r="U31" s="5" t="n">
        <x:v>3.666666666666667</x:v>
      </x:c>
      <x:c r="V31" s="5" t="n">
        <x:v>8.466666666666667</x:v>
      </x:c>
      <x:c r="W31" s="5" t="n">
        <x:v>0.2796700319129719</x:v>
      </x:c>
      <x:c r="X31" s="5" t="n">
        <x:v>0.485458523172029</x:v>
      </x:c>
      <x:c r="Y31" s="5" t="n">
        <x:v>0.1814423057623989</x:v>
      </x:c>
      <x:c r="Z31" s="5" t="n">
        <x:v>0.04612327639845051</x:v>
      </x:c>
      <x:c r="AA31" s="5" t="n">
        <x:v>0.002207815667462818</x:v>
      </x:c>
      <x:c r="AB31" s="5" t="n">
        <x:v>0.005098047086686872</x:v>
      </x:c>
      <x:c r="AC31" s="5" t="n">
        <x:v>512.3</x:v>
      </x:c>
      <x:c r="AD31" s="5" t="n">
        <x:v>338.3</x:v>
      </x:c>
      <x:c r="AE31" s="5" t="n">
        <x:v>459.7333333333333</x:v>
      </x:c>
      <x:c r="AF31" s="5" t="n">
        <x:v>327.0666666666667</x:v>
      </x:c>
      <x:c r="AG31" s="5" t="n">
        <x:v>9.199999999999999</x:v>
      </x:c>
      <x:c r="AH31" s="5" t="n">
        <x:v>14.16666666666667</x:v>
      </x:c>
      <x:c r="AI31" s="5" t="n">
        <x:v>0.3084719908476005</x:v>
      </x:c>
      <x:c r="AJ31" s="5" t="n">
        <x:v>0.2037011019007286</x:v>
      </x:c>
      <x:c r="AK31" s="5" t="n">
        <x:v>0.2768199425967927</x:v>
      </x:c>
      <x:c r="AL31" s="5" t="n">
        <x:v>0.1969371575376834</x:v>
      </x:c>
      <x:c r="AM31" s="5" t="n">
        <x:v>0.005539610220179435</x:v>
      </x:c>
      <x:c r="AN31" s="5" t="n">
        <x:v>0.008530196897015434</x:v>
      </x:c>
    </x:row>
    <x:row r="32">
      <x:c r="A32" s="3" t="n">
        <x:v>10000921</x:v>
      </x:c>
      <x:c r="B32" s="3" t="n">
        <x:v>202312</x:v>
      </x:c>
      <x:c r="C32" s="5" t="n">
        <x:v>1442.466666666667</x:v>
      </x:c>
      <x:c r="D32" s="5" t="n">
        <x:v>1768.966666666667</x:v>
      </x:c>
      <x:c r="E32" s="5" t="n">
        <x:v>870.6333333333333</x:v>
      </x:c>
      <x:c r="F32" s="5" t="n">
        <x:v>1090.166666666667</x:v>
      </x:c>
      <x:c r="G32" s="5" t="n">
        <x:v>1145.366666666667</x:v>
      </x:c>
      <x:c r="H32" s="5" t="n">
        <x:v>1105.066666666667</x:v>
      </x:c>
      <x:c r="I32" s="5" t="n">
        <x:v>1137.9</x:v>
      </x:c>
      <x:c r="J32" s="5" t="n">
        <x:v>1413.466666666667</x:v>
      </x:c>
      <x:c r="K32" s="5" t="n">
        <x:v>1662.966666666667</x:v>
      </x:c>
      <x:c r="L32" s="5" t="n">
        <x:v>1582.066666666667</x:v>
      </x:c>
      <x:c r="M32" s="5" t="n">
        <x:v>1375.733333333333</x:v>
      </x:c>
      <x:c r="N32" s="5" t="n">
        <x:v>1459.366666666667</x:v>
      </x:c>
      <x:c r="O32" s="5" t="n">
        <x:v>1444.666666666667</x:v>
      </x:c>
      <x:c r="P32" s="5" t="n">
        <x:v>1442.466666666667</x:v>
      </x:c>
      <x:c r="Q32" s="5" t="n">
        <x:v>491.1</x:v>
      </x:c>
      <x:c r="R32" s="3" t="n">
        <x:v>697</x:v>
      </x:c>
      <x:c r="S32" s="5" t="n">
        <x:v>196.2666666666667</x:v>
      </x:c>
      <x:c r="T32" s="5" t="n">
        <x:v>51.26666666666667</x:v>
      </x:c>
      <x:c r="U32" s="3" t="n">
        <x:v>3</x:v>
      </x:c>
      <x:c r="V32" s="5" t="n">
        <x:v>3.833333333333333</x:v>
      </x:c>
      <x:c r="W32" s="5" t="n">
        <x:v>0.3404584739104312</x:v>
      </x:c>
      <x:c r="X32" s="5" t="n">
        <x:v>0.4832000739474049</x:v>
      </x:c>
      <x:c r="Y32" s="5" t="n">
        <x:v>0.1360632250311966</x:v>
      </x:c>
      <x:c r="Z32" s="5" t="n">
        <x:v>0.03554097148403198</x:v>
      </x:c>
      <x:c r="AA32" s="5" t="n">
        <x:v>0.002079770763044784</x:v>
      </x:c>
      <x:c r="AB32" s="5" t="n">
        <x:v>0.002657484863890558</x:v>
      </x:c>
      <x:c r="AC32" s="5" t="n">
        <x:v>707.0666666666667</x:v>
      </x:c>
      <x:c r="AD32" s="5" t="n">
        <x:v>379.9</x:v>
      </x:c>
      <x:c r="AE32" s="5" t="n">
        <x:v>246.5333333333333</x:v>
      </x:c>
      <x:c r="AF32" s="5" t="n">
        <x:v>95.09999999999999</x:v>
      </x:c>
      <x:c r="AG32" s="3" t="n">
        <x:v>0</x:v>
      </x:c>
      <x:c r="AH32" s="5" t="n">
        <x:v>13.86666666666667</x:v>
      </x:c>
      <x:c r="AI32" s="5" t="n">
        <x:v>0.4901788602856219</x:v>
      </x:c>
      <x:c r="AJ32" s="5" t="n">
        <x:v>0.2633683042935712</x:v>
      </x:c>
      <x:c r="AK32" s="5" t="n">
        <x:v>0.1709109395942136</x:v>
      </x:c>
      <x:c r="AL32" s="5" t="n">
        <x:v>0.06592873318851966</x:v>
      </x:c>
      <x:c r="AM32" s="3" t="n">
        <x:v>0</x:v>
      </x:c>
      <x:c r="AN32" s="5" t="n">
        <x:v>0.00961316263807367</x:v>
      </x:c>
    </x:row>
    <x:row r="33">
      <x:c r="A33" s="3" t="n">
        <x:v>10000928</x:v>
      </x:c>
      <x:c r="B33" s="3" t="n">
        <x:v>202312</x:v>
      </x:c>
      <x:c r="C33" s="5" t="n">
        <x:v>1457.966666666667</x:v>
      </x:c>
      <x:c r="D33" s="5" t="n">
        <x:v>1451.466666666667</x:v>
      </x:c>
      <x:c r="E33" s="5" t="n">
        <x:v>889.4333333333333</x:v>
      </x:c>
      <x:c r="F33" s="5" t="n">
        <x:v>980.9333333333333</x:v>
      </x:c>
      <x:c r="G33" s="5" t="n">
        <x:v>1222.066666666667</x:v>
      </x:c>
      <x:c r="H33" s="5" t="n">
        <x:v>1228.166666666667</x:v>
      </x:c>
      <x:c r="I33" s="5" t="n">
        <x:v>1281.033333333333</x:v>
      </x:c>
      <x:c r="J33" s="5" t="n">
        <x:v>1534.6</x:v>
      </x:c>
      <x:c r="K33" s="5" t="n">
        <x:v>1754.6</x:v>
      </x:c>
      <x:c r="L33" s="5" t="n">
        <x:v>1737.6</x:v>
      </x:c>
      <x:c r="M33" s="5" t="n">
        <x:v>1515.9</x:v>
      </x:c>
      <x:c r="N33" s="5" t="n">
        <x:v>1416.766666666667</x:v>
      </x:c>
      <x:c r="O33" s="5" t="n">
        <x:v>1426.933333333333</x:v>
      </x:c>
      <x:c r="P33" s="5" t="n">
        <x:v>1457.966666666667</x:v>
      </x:c>
      <x:c r="Q33" s="5" t="n">
        <x:v>415.8</x:v>
      </x:c>
      <x:c r="R33" s="5" t="n">
        <x:v>777.6666666666666</x:v>
      </x:c>
      <x:c r="S33" s="5" t="n">
        <x:v>212.5666666666667</x:v>
      </x:c>
      <x:c r="T33" s="5" t="n">
        <x:v>45.2</x:v>
      </x:c>
      <x:c r="U33" s="5" t="n">
        <x:v>2.8</x:v>
      </x:c>
      <x:c r="V33" s="5" t="n">
        <x:v>3.933333333333333</x:v>
      </x:c>
      <x:c r="W33" s="5" t="n">
        <x:v>0.2851917053430577</x:v>
      </x:c>
      <x:c r="X33" s="5" t="n">
        <x:v>0.5333912526578111</x:v>
      </x:c>
      <x:c r="Y33" s="5" t="n">
        <x:v>0.1457966574453005</x:v>
      </x:c>
      <x:c r="Z33" s="5" t="n">
        <x:v>0.03100208052310295</x:v>
      </x:c>
      <x:c r="AA33" s="5" t="n">
        <x:v>0.001920482864263015</x:v>
      </x:c>
      <x:c r="AB33" s="5" t="n">
        <x:v>0.002697821166464711</x:v>
      </x:c>
      <x:c r="AC33" s="5" t="n">
        <x:v>343.3333333333333</x:v>
      </x:c>
      <x:c r="AD33" s="5" t="n">
        <x:v>370.6</x:v>
      </x:c>
      <x:c r="AE33" s="5" t="n">
        <x:v>377.4</x:v>
      </x:c>
      <x:c r="AF33" s="5" t="n">
        <x:v>334.0333333333334</x:v>
      </x:c>
      <x:c r="AG33" s="5" t="n">
        <x:v>16.16666666666667</x:v>
      </x:c>
      <x:c r="AH33" s="5" t="n">
        <x:v>16.43333333333333</x:v>
      </x:c>
      <x:c r="AI33" s="5" t="n">
        <x:v>0.2354877797846315</x:v>
      </x:c>
      <x:c r="AJ33" s="5" t="n">
        <x:v>0.2541896248199547</x:v>
      </x:c>
      <x:c r="AK33" s="5" t="n">
        <x:v>0.2588536546331649</x:v>
      </x:c>
      <x:c r="AL33" s="5" t="n">
        <x:v>0.2291090331283294</x:v>
      </x:c>
      <x:c r="AM33" s="5" t="n">
        <x:v>0.01108850225199479</x:v>
      </x:c>
      <x:c r="AN33" s="5" t="n">
        <x:v>0.0112714053819246</x:v>
      </x:c>
    </x:row>
    <x:row r="34">
      <x:c r="A34" s="3" t="n">
        <x:v>10000929</x:v>
      </x:c>
      <x:c r="B34" s="3" t="n">
        <x:v>202312</x:v>
      </x:c>
      <x:c r="C34" s="5" t="n">
        <x:v>1935.166666666667</x:v>
      </x:c>
      <x:c r="D34" s="5" t="n">
        <x:v>1602.633333333333</x:v>
      </x:c>
      <x:c r="E34" s="5" t="n">
        <x:v>845.7666666666667</x:v>
      </x:c>
      <x:c r="F34" s="5" t="n">
        <x:v>980.1</x:v>
      </x:c>
      <x:c r="G34" s="5" t="n">
        <x:v>1104.8</x:v>
      </x:c>
      <x:c r="H34" s="5" t="n">
        <x:v>1105.666666666667</x:v>
      </x:c>
      <x:c r="I34" s="5" t="n">
        <x:v>1408.6</x:v>
      </x:c>
      <x:c r="J34" s="5" t="n">
        <x:v>1960.8</x:v>
      </x:c>
      <x:c r="K34" s="5" t="n">
        <x:v>2414.7</x:v>
      </x:c>
      <x:c r="L34" s="5" t="n">
        <x:v>2326.8</x:v>
      </x:c>
      <x:c r="M34" s="5" t="n">
        <x:v>2040.966666666667</x:v>
      </x:c>
      <x:c r="N34" s="5" t="n">
        <x:v>1949.366666666667</x:v>
      </x:c>
      <x:c r="O34" s="5" t="n">
        <x:v>1899.466666666667</x:v>
      </x:c>
      <x:c r="P34" s="5" t="n">
        <x:v>1935.166666666667</x:v>
      </x:c>
      <x:c r="Q34" s="5" t="n">
        <x:v>616.9666666666667</x:v>
      </x:c>
      <x:c r="R34" s="3" t="n">
        <x:v>977</x:v>
      </x:c>
      <x:c r="S34" s="5" t="n">
        <x:v>274.7</x:v>
      </x:c>
      <x:c r="T34" s="5" t="n">
        <x:v>59.03333333333333</x:v>
      </x:c>
      <x:c r="U34" s="5" t="n">
        <x:v>2.6</x:v>
      </x:c>
      <x:c r="V34" s="5" t="n">
        <x:v>4.866666666666666</x:v>
      </x:c>
      <x:c r="W34" s="5" t="n">
        <x:v>0.3188183618982</x:v>
      </x:c>
      <x:c r="X34" s="5" t="n">
        <x:v>0.5048660752734476</x:v>
      </x:c>
      <x:c r="Y34" s="5" t="n">
        <x:v>0.1419515976229437</x:v>
      </x:c>
      <x:c r="Z34" s="5" t="n">
        <x:v>0.03050555507708207</x:v>
      </x:c>
      <x:c r="AA34" s="5" t="n">
        <x:v>0.001343553526828008</x:v>
      </x:c>
      <x:c r="AB34" s="5" t="n">
        <x:v>0.002514856601498579</x:v>
      </x:c>
      <x:c r="AC34" s="5" t="n">
        <x:v>447.0333333333334</x:v>
      </x:c>
      <x:c r="AD34" s="5" t="n">
        <x:v>395.4666666666666</x:v>
      </x:c>
      <x:c r="AE34" s="5" t="n">
        <x:v>289.8333333333333</x:v>
      </x:c>
      <x:c r="AF34" s="3" t="n">
        <x:v>589</x:v>
      </x:c>
      <x:c r="AG34" s="5" t="n">
        <x:v>194.8</x:v>
      </x:c>
      <x:c r="AH34" s="5" t="n">
        <x:v>19.03333333333333</x:v>
      </x:c>
      <x:c r="AI34" s="5" t="n">
        <x:v>0.2310050813883386</x:v>
      </x:c>
      <x:c r="AJ34" s="5" t="n">
        <x:v>0.2043579364395831</x:v>
      </x:c>
      <x:c r="AK34" s="5" t="n">
        <x:v>0.1497717681508914</x:v>
      </x:c>
      <x:c r="AL34" s="5" t="n">
        <x:v>0.304366548962191</x:v>
      </x:c>
      <x:c r="AM34" s="5" t="n">
        <x:v>0.1006631642408061</x:v>
      </x:c>
      <x:c r="AN34" s="5" t="n">
        <x:v>0.009835500818189648</x:v>
      </x:c>
    </x:row>
    <x:row r="35">
      <x:c r="A35" s="3" t="n">
        <x:v>10000930</x:v>
      </x:c>
      <x:c r="B35" s="3" t="n">
        <x:v>202312</x:v>
      </x:c>
      <x:c r="C35" s="5" t="n">
        <x:v>1515.733333333333</x:v>
      </x:c>
      <x:c r="D35" s="5" t="n">
        <x:v>1386.166666666667</x:v>
      </x:c>
      <x:c r="E35" s="5" t="n">
        <x:v>671.4666666666667</x:v>
      </x:c>
      <x:c r="F35" s="5" t="n">
        <x:v>1110.5</x:v>
      </x:c>
      <x:c r="G35" s="5" t="n">
        <x:v>1498.133333333333</x:v>
      </x:c>
      <x:c r="H35" s="5" t="n">
        <x:v>1490.3</x:v>
      </x:c>
      <x:c r="I35" s="5" t="n">
        <x:v>1594.966666666667</x:v>
      </x:c>
      <x:c r="J35" s="5" t="n">
        <x:v>1862.3</x:v>
      </x:c>
      <x:c r="K35" s="5" t="n">
        <x:v>1848.666666666667</x:v>
      </x:c>
      <x:c r="L35" s="5" t="n">
        <x:v>1744.633333333333</x:v>
      </x:c>
      <x:c r="M35" s="5" t="n">
        <x:v>1602.733333333333</x:v>
      </x:c>
      <x:c r="N35" s="5" t="n">
        <x:v>1598.1</x:v>
      </x:c>
      <x:c r="O35" s="5" t="n">
        <x:v>1545.633333333333</x:v>
      </x:c>
      <x:c r="P35" s="5" t="n">
        <x:v>1515.733333333333</x:v>
      </x:c>
      <x:c r="Q35" s="5" t="n">
        <x:v>593.8333333333334</x:v>
      </x:c>
      <x:c r="R35" s="5" t="n">
        <x:v>709.9333333333333</x:v>
      </x:c>
      <x:c r="S35" s="5" t="n">
        <x:v>163.3</x:v>
      </x:c>
      <x:c r="T35" s="5" t="n">
        <x:v>42.86666666666667</x:v>
      </x:c>
      <x:c r="U35" s="5" t="n">
        <x:v>2.6</x:v>
      </x:c>
      <x:c r="V35" s="5" t="n">
        <x:v>3.2</x:v>
      </x:c>
      <x:c r="W35" s="5" t="n">
        <x:v>0.3917795566502463</x:v>
      </x:c>
      <x:c r="X35" s="5" t="n">
        <x:v>0.4683761435608726</x:v>
      </x:c>
      <x:c r="Y35" s="5" t="n">
        <x:v>0.1077366291344124</x:v>
      </x:c>
      <x:c r="Z35" s="5" t="n">
        <x:v>0.02828114004222379</x:v>
      </x:c>
      <x:c r="AA35" s="5" t="n">
        <x:v>0.001715341308937368</x:v>
      </x:c>
      <x:c r="AB35" s="5" t="n">
        <x:v>0.00211118930330753</x:v>
      </x:c>
      <x:c r="AC35" s="5" t="n">
        <x:v>301.9</x:v>
      </x:c>
      <x:c r="AD35" s="5" t="n">
        <x:v>429.2</x:v>
      </x:c>
      <x:c r="AE35" s="5" t="n">
        <x:v>462.9666666666666</x:v>
      </x:c>
      <x:c r="AF35" s="5" t="n">
        <x:v>288.8</x:v>
      </x:c>
      <x:c r="AG35" s="5" t="n">
        <x:v>12.36666666666667</x:v>
      </x:c>
      <x:c r="AH35" s="5" t="n">
        <x:v>20.5</x:v>
      </x:c>
      <x:c r="AI35" s="5" t="n">
        <x:v>0.1991775158339198</x:v>
      </x:c>
      <x:c r="AJ35" s="5" t="n">
        <x:v>0.2831632653061225</x:v>
      </x:c>
      <x:c r="AK35" s="5" t="n">
        <x:v>0.3054407107670654</x:v>
      </x:c>
      <x:c r="AL35" s="5" t="n">
        <x:v>0.1905348346235046</x:v>
      </x:c>
      <x:c r="AM35" s="5" t="n">
        <x:v>0.008158866995073892</x:v>
      </x:c>
      <x:c r="AN35" s="5" t="n">
        <x:v>0.01352480647431386</x:v>
      </x:c>
    </x:row>
    <x:row r="36">
      <x:c r="A36" s="3" t="n">
        <x:v>10000936</x:v>
      </x:c>
      <x:c r="B36" s="3" t="n">
        <x:v>202401</x:v>
      </x:c>
      <x:c r="C36" s="5" t="n">
        <x:v>1209.333333333333</x:v>
      </x:c>
      <x:c r="D36" s="5" t="n">
        <x:v>1707.166666666667</x:v>
      </x:c>
      <x:c r="E36" s="5" t="n">
        <x:v>1057.333333333333</x:v>
      </x:c>
      <x:c r="F36" s="5" t="n">
        <x:v>1245.7</x:v>
      </x:c>
      <x:c r="G36" s="5" t="n">
        <x:v>1117.933333333333</x:v>
      </x:c>
      <x:c r="H36" s="5" t="n">
        <x:v>1110.833333333333</x:v>
      </x:c>
      <x:c r="I36" s="5" t="n">
        <x:v>1596.133333333333</x:v>
      </x:c>
      <x:c r="J36" s="5" t="n">
        <x:v>1740.2</x:v>
      </x:c>
      <x:c r="K36" s="5" t="n">
        <x:v>1710.1</x:v>
      </x:c>
      <x:c r="L36" s="5" t="n">
        <x:v>1396.633333333333</x:v>
      </x:c>
      <x:c r="M36" s="5" t="n">
        <x:v>1413.766666666667</x:v>
      </x:c>
      <x:c r="N36" s="5" t="n">
        <x:v>1356.366666666667</x:v>
      </x:c>
      <x:c r="O36" s="5" t="n">
        <x:v>1370.866666666667</x:v>
      </x:c>
      <x:c r="P36" s="5" t="n">
        <x:v>1209.333333333333</x:v>
      </x:c>
      <x:c r="Q36" s="5" t="n">
        <x:v>324.8</x:v>
      </x:c>
      <x:c r="R36" s="5" t="n">
        <x:v>621.4</x:v>
      </x:c>
      <x:c r="S36" s="5" t="n">
        <x:v>209.0666666666667</x:v>
      </x:c>
      <x:c r="T36" s="5" t="n">
        <x:v>49.1</x:v>
      </x:c>
      <x:c r="U36" s="5" t="n">
        <x:v>3.133333333333333</x:v>
      </x:c>
      <x:c r="V36" s="5" t="n">
        <x:v>1.833333333333333</x:v>
      </x:c>
      <x:c r="W36" s="5" t="n">
        <x:v>0.2685777287761852</x:v>
      </x:c>
      <x:c r="X36" s="5" t="n">
        <x:v>0.5138368246968027</x:v>
      </x:c>
      <x:c r="Y36" s="5" t="n">
        <x:v>0.172877618522602</x:v>
      </x:c>
      <x:c r="Z36" s="5" t="n">
        <x:v>0.04060088202866594</x:v>
      </x:c>
      <x:c r="AA36" s="5" t="n">
        <x:v>0.002590959206174201</x:v>
      </x:c>
      <x:c r="AB36" s="5" t="n">
        <x:v>0.001515986769570011</x:v>
      </x:c>
      <x:c r="AC36" s="5" t="n">
        <x:v>94.2</x:v>
      </x:c>
      <x:c r="AD36" s="5" t="n">
        <x:v>259.8666666666667</x:v>
      </x:c>
      <x:c r="AE36" s="5" t="n">
        <x:v>384.3333333333333</x:v>
      </x:c>
      <x:c r="AF36" s="5" t="n">
        <x:v>439.8666666666667</x:v>
      </x:c>
      <x:c r="AG36" s="5" t="n">
        <x:v>10.43333333333333</x:v>
      </x:c>
      <x:c r="AH36" s="5" t="n">
        <x:v>20.63333333333333</x:v>
      </x:c>
      <x:c r="AI36" s="5" t="n">
        <x:v>0.0778941565600882</x:v>
      </x:c>
      <x:c r="AJ36" s="5" t="n">
        <x:v>0.2148842337375965</x:v>
      </x:c>
      <x:c r="AK36" s="5" t="n">
        <x:v>0.3178059536934951</x:v>
      </x:c>
      <x:c r="AL36" s="5" t="n">
        <x:v>0.3637265711135612</x:v>
      </x:c>
      <x:c r="AM36" s="5" t="n">
        <x:v>0.008627342888643882</x:v>
      </x:c>
      <x:c r="AN36" s="5" t="n">
        <x:v>0.01706174200661522</x:v>
      </x:c>
    </x:row>
    <x:row r="37">
      <x:c r="A37" s="3" t="n">
        <x:v>10000957</x:v>
      </x:c>
      <x:c r="B37" s="3" t="n">
        <x:v>202403</x:v>
      </x:c>
      <x:c r="C37" s="5" t="n">
        <x:v>1836.2</x:v>
      </x:c>
      <x:c r="D37" s="5" t="n">
        <x:v>2066.833333333333</x:v>
      </x:c>
      <x:c r="E37" s="5" t="n">
        <x:v>1252.433333333333</x:v>
      </x:c>
      <x:c r="F37" s="5" t="n">
        <x:v>1254.733333333333</x:v>
      </x:c>
      <x:c r="G37" s="5" t="n">
        <x:v>1378.666666666667</x:v>
      </x:c>
      <x:c r="H37" s="5" t="n">
        <x:v>1717.633333333333</x:v>
      </x:c>
      <x:c r="I37" s="5" t="n">
        <x:v>1885.166666666667</x:v>
      </x:c>
      <x:c r="J37" s="5" t="n">
        <x:v>1837.233333333333</x:v>
      </x:c>
      <x:c r="K37" s="5" t="n">
        <x:v>1735.9</x:v>
      </x:c>
      <x:c r="L37" s="5" t="n">
        <x:v>1730.533333333333</x:v>
      </x:c>
      <x:c r="M37" s="5" t="n">
        <x:v>1809.9</x:v>
      </x:c>
      <x:c r="N37" s="5" t="n">
        <x:v>1570.3</x:v>
      </x:c>
      <x:c r="O37" s="5" t="n">
        <x:v>1624.1</x:v>
      </x:c>
      <x:c r="P37" s="5" t="n">
        <x:v>1836.2</x:v>
      </x:c>
      <x:c r="Q37" s="5" t="n">
        <x:v>688.2333333333333</x:v>
      </x:c>
      <x:c r="R37" s="5" t="n">
        <x:v>895.9</x:v>
      </x:c>
      <x:c r="S37" s="5" t="n">
        <x:v>209.4</x:v>
      </x:c>
      <x:c r="T37" s="5" t="n">
        <x:v>37.43333333333333</x:v>
      </x:c>
      <x:c r="U37" s="5" t="n">
        <x:v>2.7</x:v>
      </x:c>
      <x:c r="V37" s="5" t="n">
        <x:v>2.533333333333333</x:v>
      </x:c>
      <x:c r="W37" s="5" t="n">
        <x:v>0.374813927313655</x:v>
      </x:c>
      <x:c r="X37" s="5" t="n">
        <x:v>0.4879098137457793</x:v>
      </x:c>
      <x:c r="Y37" s="5" t="n">
        <x:v>0.1140398649384599</x:v>
      </x:c>
      <x:c r="Z37" s="5" t="n">
        <x:v>0.02038630505028501</x:v>
      </x:c>
      <x:c r="AA37" s="5" t="n">
        <x:v>0.001470428057945758</x:v>
      </x:c>
      <x:c r="AB37" s="5" t="n">
        <x:v>0.001379660893875032</x:v>
      </x:c>
      <x:c r="AC37" s="5" t="n">
        <x:v>747.5666666666667</x:v>
      </x:c>
      <x:c r="AD37" s="5" t="n">
        <x:v>561.4</x:v>
      </x:c>
      <x:c r="AE37" s="5" t="n">
        <x:v>438.1666666666667</x:v>
      </x:c>
      <x:c r="AF37" s="5" t="n">
        <x:v>70.63333333333334</x:v>
      </x:c>
      <x:c r="AG37" s="5" t="n">
        <x:v>1.766666666666667</x:v>
      </x:c>
      <x:c r="AH37" s="5" t="n">
        <x:v>16.66666666666667</x:v>
      </x:c>
      <x:c r="AI37" s="5" t="n">
        <x:v>0.4071270377228334</x:v>
      </x:c>
      <x:c r="AJ37" s="5" t="n">
        <x:v>0.3057401154558327</x:v>
      </x:c>
      <x:c r="AK37" s="5" t="n">
        <x:v>0.2386268743419381</x:v>
      </x:c>
      <x:c r="AL37" s="5" t="n">
        <x:v>0.03846712413317359</x:v>
      </x:c>
      <x:c r="AM37" s="5" t="n">
        <x:v>0.0009621319391496932</x:v>
      </x:c>
      <x:c r="AN37" s="5" t="n">
        <x:v>0.009076716407072577</x:v>
      </x:c>
    </x:row>
    <x:row r="38">
      <x:c r="A38" s="3" t="n">
        <x:v>10000972</x:v>
      </x:c>
      <x:c r="B38" s="3" t="n">
        <x:v>202405</x:v>
      </x:c>
      <x:c r="C38" s="5" t="n">
        <x:v>1897.866666666667</x:v>
      </x:c>
      <x:c r="D38" s="5" t="n">
        <x:v>1317.3</x:v>
      </x:c>
      <x:c r="E38" s="5" t="n">
        <x:v>1305.766666666667</x:v>
      </x:c>
      <x:c r="F38" s="5" t="n">
        <x:v>1420.366666666667</x:v>
      </x:c>
      <x:c r="G38" s="5" t="n">
        <x:v>1432.7</x:v>
      </x:c>
      <x:c r="H38" s="5" t="n">
        <x:v>1272.933333333333</x:v>
      </x:c>
      <x:c r="I38" s="5" t="n">
        <x:v>1281.4</x:v>
      </x:c>
      <x:c r="J38" s="5" t="n">
        <x:v>1334.7</x:v>
      </x:c>
      <x:c r="K38" s="5" t="n">
        <x:v>1279.666666666667</x:v>
      </x:c>
      <x:c r="L38" s="5" t="n">
        <x:v>1180.733333333333</x:v>
      </x:c>
      <x:c r="M38" s="5" t="n">
        <x:v>1443.566666666667</x:v>
      </x:c>
      <x:c r="N38" s="5" t="n">
        <x:v>1619.566666666667</x:v>
      </x:c>
      <x:c r="O38" s="5" t="n">
        <x:v>1735.933333333333</x:v>
      </x:c>
      <x:c r="P38" s="5" t="n">
        <x:v>1897.866666666667</x:v>
      </x:c>
      <x:c r="Q38" s="5" t="n">
        <x:v>961.4</x:v>
      </x:c>
      <x:c r="R38" s="5" t="n">
        <x:v>793.5333333333333</x:v>
      </x:c>
      <x:c r="S38" s="5" t="n">
        <x:v>121.3666666666667</x:v>
      </x:c>
      <x:c r="T38" s="5" t="n">
        <x:v>18.13333333333333</x:v>
      </x:c>
      <x:c r="U38" s="5" t="n">
        <x:v>2.466666666666667</x:v>
      </x:c>
      <x:c r="V38" s="5" t="n">
        <x:v>0.9666666666666667</x:v>
      </x:c>
      <x:c r="W38" s="5" t="n">
        <x:v>0.5065687789799073</x:v>
      </x:c>
      <x:c r="X38" s="5" t="n">
        <x:v>0.4181185892932415</x:v>
      </x:c>
      <x:c r="Y38" s="5" t="n">
        <x:v>0.06394899536321484</x:v>
      </x:c>
      <x:c r="Z38" s="5" t="n">
        <x:v>0.00955458760713784</x:v>
      </x:c>
      <x:c r="AA38" s="5" t="n">
        <x:v>0.001299704931853309</x:v>
      </x:c>
      <x:c r="AB38" s="5" t="n">
        <x:v>0.0005093438246452157</x:v>
      </x:c>
      <x:c r="AC38" s="5" t="n">
        <x:v>302.3333333333333</x:v>
      </x:c>
      <x:c r="AD38" s="5" t="n">
        <x:v>419.6333333333333</x:v>
      </x:c>
      <x:c r="AE38" s="5" t="n">
        <x:v>648.0666666666667</x:v>
      </x:c>
      <x:c r="AF38" s="5" t="n">
        <x:v>404.4</x:v>
      </x:c>
      <x:c r="AG38" s="5" t="n">
        <x:v>88.66666666666667</x:v>
      </x:c>
      <x:c r="AH38" s="5" t="n">
        <x:v>34.76666666666667</x:v>
      </x:c>
      <x:c r="AI38" s="5" t="n">
        <x:v>0.1593016720528312</x:v>
      </x:c>
      <x:c r="AJ38" s="5" t="n">
        <x:v>0.2211079106365041</x:v>
      </x:c>
      <x:c r="AK38" s="5" t="n">
        <x:v>0.3414711254742167</x:v>
      </x:c>
      <x:c r="AL38" s="5" t="n">
        <x:v>0.213081354503302</x:v>
      </x:c>
      <x:c r="AM38" s="5" t="n">
        <x:v>0.04671912322607841</x:v>
      </x:c>
      <x:c r="AN38" s="5" t="n">
        <x:v>0.01831881410706759</x:v>
      </x:c>
    </x:row>
    <x:row r="39">
      <x:c r="A39" s="3" t="n">
        <x:v>10000990</x:v>
      </x:c>
      <x:c r="B39" s="3" t="n">
        <x:v>202406</x:v>
      </x:c>
      <x:c r="C39" s="5" t="n">
        <x:v>2039.7</x:v>
      </x:c>
      <x:c r="D39" s="5" t="n">
        <x:v>1950.933333333333</x:v>
      </x:c>
      <x:c r="E39" s="5" t="n">
        <x:v>1393.266666666667</x:v>
      </x:c>
      <x:c r="F39" s="5" t="n">
        <x:v>1413.766666666667</x:v>
      </x:c>
      <x:c r="G39" s="5" t="n">
        <x:v>1167.833333333333</x:v>
      </x:c>
      <x:c r="H39" s="5" t="n">
        <x:v>1148.5</x:v>
      </x:c>
      <x:c r="I39" s="5" t="n">
        <x:v>1156.766666666667</x:v>
      </x:c>
      <x:c r="J39" s="5" t="n">
        <x:v>1205.033333333333</x:v>
      </x:c>
      <x:c r="K39" s="5" t="n">
        <x:v>1078.033333333333</x:v>
      </x:c>
      <x:c r="L39" s="5" t="n">
        <x:v>1375.7</x:v>
      </x:c>
      <x:c r="M39" s="5" t="n">
        <x:v>1526.333333333333</x:v>
      </x:c>
      <x:c r="N39" s="5" t="n">
        <x:v>1628.066666666667</x:v>
      </x:c>
      <x:c r="O39" s="5" t="n">
        <x:v>1861.333333333333</x:v>
      </x:c>
      <x:c r="P39" s="5" t="n">
        <x:v>2039.7</x:v>
      </x:c>
      <x:c r="Q39" s="5" t="n">
        <x:v>726.6666666666666</x:v>
      </x:c>
      <x:c r="R39" s="5" t="n">
        <x:v>957.3666666666667</x:v>
      </x:c>
      <x:c r="S39" s="5" t="n">
        <x:v>286.3</x:v>
      </x:c>
      <x:c r="T39" s="5" t="n">
        <x:v>62.9</x:v>
      </x:c>
      <x:c r="U39" s="5" t="n">
        <x:v>5.4</x:v>
      </x:c>
      <x:c r="V39" s="5" t="n">
        <x:v>1.066666666666667</x:v>
      </x:c>
      <x:c r="W39" s="5" t="n">
        <x:v>0.356261541729993</x:v>
      </x:c>
      <x:c r="X39" s="5" t="n">
        <x:v>0.4693664100929875</x:v>
      </x:c>
      <x:c r="Y39" s="5" t="n">
        <x:v>0.1403637789871059</x:v>
      </x:c>
      <x:c r="Z39" s="5" t="n">
        <x:v>0.03083786831396774</x:v>
      </x:c>
      <x:c r="AA39" s="5" t="n">
        <x:v>0.002647448154140315</x:v>
      </x:c>
      <x:c r="AB39" s="5" t="n">
        <x:v>0.0005229527218054942</x:v>
      </x:c>
      <x:c r="AC39" s="5" t="n">
        <x:v>707.1666666666666</x:v>
      </x:c>
      <x:c r="AD39" s="5" t="n">
        <x:v>586.1666666666666</x:v>
      </x:c>
      <x:c r="AE39" s="5" t="n">
        <x:v>451.9</x:v>
      </x:c>
      <x:c r="AF39" s="5" t="n">
        <x:v>204.7333333333333</x:v>
      </x:c>
      <x:c r="AG39" s="5" t="n">
        <x:v>44.46666666666667</x:v>
      </x:c>
      <x:c r="AH39" s="5" t="n">
        <x:v>45.26666666666667</x:v>
      </x:c>
      <x:c r="AI39" s="5" t="n">
        <x:v>0.3467013122844863</x:v>
      </x:c>
      <x:c r="AJ39" s="5" t="n">
        <x:v>0.2873788629046755</x:v>
      </x:c>
      <x:c r="AK39" s="5" t="n">
        <x:v>0.2215521890474089</x:v>
      </x:c>
      <x:c r="AL39" s="5" t="n">
        <x:v>0.1003742380415421</x:v>
      </x:c>
      <x:c r="AM39" s="5" t="n">
        <x:v>0.02180059159026654</x:v>
      </x:c>
      <x:c r="AN39" s="5" t="n">
        <x:v>0.02219280613162066</x:v>
      </x:c>
    </x:row>
    <x:row r="40">
      <x:c r="A40" s="3" t="n">
        <x:v>10001038</x:v>
      </x:c>
      <x:c r="B40" s="3" t="n">
        <x:v>202410</x:v>
      </x:c>
      <x:c r="C40" s="5" t="n">
        <x:v>1252.6</x:v>
      </x:c>
      <x:c r="D40" s="5" t="n">
        <x:v>981.3</x:v>
      </x:c>
      <x:c r="E40" s="5" t="n">
        <x:v>905.3666666666667</x:v>
      </x:c>
      <x:c r="F40" s="5" t="n">
        <x:v>849.9666666666667</x:v>
      </x:c>
      <x:c r="G40" s="5" t="n">
        <x:v>816.1666666666666</x:v>
      </x:c>
      <x:c r="H40" s="3" t="n">
        <x:v>906</x:v>
      </x:c>
      <x:c r="I40" s="5" t="n">
        <x:v>991.8333333333334</x:v>
      </x:c>
      <x:c r="J40" s="5" t="n">
        <x:v>1083.266666666667</x:v>
      </x:c>
      <x:c r="K40" s="5" t="n">
        <x:v>1222.266666666667</x:v>
      </x:c>
      <x:c r="L40" s="5" t="n">
        <x:v>1310.066666666667</x:v>
      </x:c>
      <x:c r="M40" s="5" t="n">
        <x:v>1349.066666666667</x:v>
      </x:c>
      <x:c r="N40" s="5" t="n">
        <x:v>1436.8</x:v>
      </x:c>
      <x:c r="O40" s="5" t="n">
        <x:v>1298.833333333333</x:v>
      </x:c>
      <x:c r="P40" s="5" t="n">
        <x:v>1252.6</x:v>
      </x:c>
      <x:c r="Q40" s="5" t="n">
        <x:v>344.8333333333333</x:v>
      </x:c>
      <x:c r="R40" s="5" t="n">
        <x:v>647.0666666666667</x:v>
      </x:c>
      <x:c r="S40" s="5" t="n">
        <x:v>203.8</x:v>
      </x:c>
      <x:c r="T40" s="5" t="n">
        <x:v>50.66666666666666</x:v>
      </x:c>
      <x:c r="U40" s="5" t="n">
        <x:v>2.833333333333333</x:v>
      </x:c>
      <x:c r="V40" s="5" t="n">
        <x:v>3.4</x:v>
      </x:c>
      <x:c r="W40" s="5" t="n">
        <x:v>0.2752940550321997</x:v>
      </x:c>
      <x:c r="X40" s="5" t="n">
        <x:v>0.5165788493267338</x:v>
      </x:c>
      <x:c r="Y40" s="5" t="n">
        <x:v>0.1627015807121188</x:v>
      </x:c>
      <x:c r="Z40" s="5" t="n">
        <x:v>0.04044919899941455</x:v>
      </x:c>
      <x:c r="AA40" s="5" t="n">
        <x:v>0.002261961786151472</x:v>
      </x:c>
      <x:c r="AB40" s="5" t="n">
        <x:v>0.002714354143381766</x:v>
      </x:c>
      <x:c r="AC40" s="5" t="n">
        <x:v>103.1</x:v>
      </x:c>
      <x:c r="AD40" s="5" t="n">
        <x:v>211.8</x:v>
      </x:c>
      <x:c r="AE40" s="5" t="n">
        <x:v>346.3333333333333</x:v>
      </x:c>
      <x:c r="AF40" s="5" t="n">
        <x:v>534.2666666666667</x:v>
      </x:c>
      <x:c r="AG40" s="5" t="n">
        <x:v>11.26666666666667</x:v>
      </x:c>
      <x:c r="AH40" s="5" t="n">
        <x:v>45.83333333333334</x:v>
      </x:c>
      <x:c r="AI40" s="5" t="n">
        <x:v>0.08230879770078238</x:v>
      </x:c>
      <x:c r="AJ40" s="5" t="n">
        <x:v>0.1690882963436053</x:v>
      </x:c>
      <x:c r="AK40" s="5" t="n">
        <x:v>0.2764915642131034</x:v>
      </x:c>
      <x:c r="AL40" s="5" t="n">
        <x:v>0.426526158922774</x:v>
      </x:c>
      <x:c r="AM40" s="5" t="n">
        <x:v>0.0089946245143435</x:v>
      </x:c>
      <x:c r="AN40" s="5" t="n">
        <x:v>0.03659055830539146</x:v>
      </x:c>
    </x:row>
    <x:row r="41">
      <x:c r="A41" s="3" t="n">
        <x:v>10001088</x:v>
      </x:c>
      <x:c r="B41" s="3" t="n">
        <x:v>202412</x:v>
      </x:c>
      <x:c r="C41" s="3" t="n"/>
      <x:c r="D41" s="5" t="n">
        <x:v>1232.566666666667</x:v>
      </x:c>
      <x:c r="E41" s="5" t="n">
        <x:v>1384.2</x:v>
      </x:c>
      <x:c r="F41" s="5" t="n">
        <x:v>1638.5</x:v>
      </x:c>
      <x:c r="G41" s="3" t="n">
        <x:v>1804</x:v>
      </x:c>
      <x:c r="H41" s="5" t="n">
        <x:v>1964.266666666667</x:v>
      </x:c>
      <x:c r="I41" s="5" t="n">
        <x:v>2099.8</x:v>
      </x:c>
      <x:c r="J41" s="5" t="n">
        <x:v>2266.933333333333</x:v>
      </x:c>
      <x:c r="K41" s="5" t="n">
        <x:v>2281.933333333333</x:v>
      </x:c>
      <x:c r="L41" s="5" t="n">
        <x:v>2202.166666666667</x:v>
      </x:c>
      <x:c r="M41" s="3" t="n">
        <x:v>1912</x:v>
      </x:c>
      <x:c r="N41" s="5" t="n">
        <x:v>1887.433333333333</x:v>
      </x:c>
      <x:c r="O41" s="5" t="n">
        <x:v>1781.833333333333</x:v>
      </x:c>
      <x:c r="P41" s="3" t="n"/>
      <x:c r="Q41" s="3" t="n"/>
      <x:c r="R41" s="3" t="n"/>
      <x:c r="S41" s="3" t="n"/>
      <x:c r="T41" s="3" t="n"/>
      <x:c r="U41" s="3" t="n"/>
      <x:c r="V41" s="3" t="n"/>
      <x:c r="W41" s="3" t="n"/>
      <x:c r="X41" s="3" t="n"/>
      <x:c r="Y41" s="3" t="n"/>
      <x:c r="Z41" s="3" t="n"/>
      <x:c r="AA41" s="3" t="n"/>
      <x:c r="AB41" s="3" t="n"/>
      <x:c r="AC41" s="3" t="n"/>
      <x:c r="AD41" s="3" t="n"/>
      <x:c r="AE41" s="3" t="n"/>
      <x:c r="AF41" s="3" t="n"/>
      <x:c r="AG41" s="3" t="n"/>
      <x:c r="AH41" s="3" t="n"/>
      <x:c r="AI41" s="3" t="n"/>
      <x:c r="AJ41" s="3" t="n"/>
      <x:c r="AK41" s="3" t="n"/>
      <x:c r="AL41" s="3" t="n"/>
      <x:c r="AM41" s="3" t="n"/>
      <x:c r="AN41" s="3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1" customWidth="1"/>
    <x:col min="3" max="3" width="19" customWidth="1"/>
    <x:col min="4" max="4" width="18" customWidth="1"/>
    <x:col min="5" max="5" width="18" customWidth="1"/>
    <x:col min="6" max="6" width="16" customWidth="1"/>
    <x:col min="7" max="7" width="16" customWidth="1"/>
    <x:col min="8" max="8" width="13" customWidth="1"/>
    <x:col min="9" max="9" width="12" customWidth="1"/>
    <x:col min="10" max="10" width="22" customWidth="1"/>
    <x:col min="11" max="11" width="21" customWidth="1"/>
    <x:col min="12" max="12" width="20" customWidth="1"/>
    <x:col min="13" max="13" width="20" customWidth="1"/>
    <x:col min="14" max="14" width="20" customWidth="1"/>
    <x:col min="15" max="15" width="21" customWidth="1"/>
    <x:col min="16" max="16" width="12" customWidth="1"/>
    <x:col min="17" max="17" width="13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9" customWidth="1"/>
    <x:col min="28" max="28" width="19" customWidth="1"/>
    <x:col min="29" max="29" width="19" customWidth="1"/>
    <x:col min="30" max="30" width="19" customWidth="1"/>
    <x:col min="31" max="31" width="19" customWidth="1"/>
    <x:col min="32" max="32" width="19" customWidth="1"/>
    <x:col min="33" max="33" width="19" customWidth="1"/>
    <x:col min="34" max="34" width="19" customWidth="1"/>
    <x:col min="35" max="35" width="19" customWidth="1"/>
    <x:col min="36" max="36" width="19" customWidth="1"/>
    <x:col min="37" max="37" width="19" customWidth="1"/>
    <x:col min="38" max="38" width="19" customWidth="1"/>
    <x:col min="39" max="39" width="19" customWidth="1"/>
    <x:col min="40" max="40" width="19" customWidth="1"/>
    <x:col min="41" max="41" width="19" customWidth="1"/>
    <x:col min="42" max="42" width="19" customWidth="1"/>
    <x:col min="43" max="43" width="19" customWidth="1"/>
    <x:col min="44" max="44" width="19" customWidth="1"/>
    <x:col min="45" max="45" width="20" customWidth="1"/>
    <x:col min="46" max="46" width="20" customWidth="1"/>
    <x:col min="47" max="47" width="20" customWidth="1"/>
    <x:col min="48" max="48" width="20" customWidth="1"/>
    <x:col min="49" max="49" width="21" customWidth="1"/>
    <x:col min="50" max="50" width="22" customWidth="1"/>
    <x:col min="51" max="51" width="23" customWidth="1"/>
    <x:col min="52" max="52" width="23" customWidth="1"/>
    <x:col min="53" max="53" width="19" customWidth="1"/>
    <x:col min="54" max="54" width="21" customWidth="1"/>
    <x:col min="55" max="55" width="21" customWidth="1"/>
    <x:col min="56" max="56" width="21" customWidth="1"/>
    <x:col min="57" max="57" width="21" customWidth="1"/>
    <x:col min="58" max="58" width="21" customWidth="1"/>
    <x:col min="59" max="59" width="21" customWidth="1"/>
    <x:col min="60" max="60" width="22" customWidth="1"/>
    <x:col min="61" max="61" width="22" customWidth="1"/>
    <x:col min="62" max="62" width="23" customWidth="1"/>
    <x:col min="63" max="63" width="23" customWidth="1"/>
    <x:col min="64" max="64" width="22" customWidth="1"/>
  </x:cols>
  <x:sheetData>
    <x:row r="1">
      <x:c r="A1" s="4" t="inlineStr">
        <x:is>
          <x:t xml:space="preserve">站点ID</x:t>
        </x:is>
      </x:c>
      <x:c r="B1" s="4" t="inlineStr">
        <x:is>
          <x:t xml:space="preserve">开站日期</x:t>
        </x:is>
      </x:c>
      <x:c r="C1" s="4" t="inlineStr">
        <x:is>
          <x:t xml:space="preserve">覆盖户数_合计</x:t>
        </x:is>
      </x:c>
      <x:c r="D1" s="4" t="inlineStr">
        <x:is>
          <x:t xml:space="preserve">覆盖户数_0~1.5km</x:t>
        </x:is>
      </x:c>
      <x:c r="E1" s="4" t="inlineStr">
        <x:is>
          <x:t xml:space="preserve">覆盖户数_1.5~2.1km</x:t>
        </x:is>
      </x:c>
      <x:c r="F1" s="4" t="inlineStr">
        <x:is>
          <x:t xml:space="preserve">覆盖户数_2.1~2.8km</x:t>
        </x:is>
      </x:c>
      <x:c r="G1" s="4" t="inlineStr">
        <x:is>
          <x:t xml:space="preserve">覆盖户数_2.8~3.8km</x:t>
        </x:is>
      </x:c>
      <x:c r="H1" s="4" t="inlineStr">
        <x:is>
          <x:t xml:space="preserve">覆盖户数_3.8km+</x:t>
        </x:is>
      </x:c>
      <x:c r="I1" s="4" t="inlineStr">
        <x:is>
          <x:t xml:space="preserve">美团月活</x:t>
        </x:is>
      </x:c>
      <x:c r="J1" s="4" t="inlineStr">
        <x:is>
          <x:t xml:space="preserve">月活L1占比</x:t>
        </x:is>
      </x:c>
      <x:c r="K1" s="4" t="inlineStr">
        <x:is>
          <x:t xml:space="preserve">月活L2占比</x:t>
        </x:is>
      </x:c>
      <x:c r="L1" s="4" t="inlineStr">
        <x:is>
          <x:t xml:space="preserve">月活L3占比</x:t>
        </x:is>
      </x:c>
      <x:c r="M1" s="4" t="inlineStr">
        <x:is>
          <x:t xml:space="preserve">月活L4占比</x:t>
        </x:is>
      </x:c>
      <x:c r="N1" s="4" t="inlineStr">
        <x:is>
          <x:t xml:space="preserve">月活L5占比</x:t>
        </x:is>
      </x:c>
      <x:c r="O1" s="4" t="inlineStr">
        <x:is>
          <x:t xml:space="preserve">月活精致度缺失占比</x:t>
        </x:is>
      </x:c>
      <x:c r="P1" s="4" t="inlineStr">
        <x:is>
          <x:t xml:space="preserve">商超总数</x:t>
        </x:is>
      </x:c>
      <x:c r="Q1" s="4" t="inlineStr">
        <x:is>
          <x:t xml:space="preserve">中大商超_仓储会员店数</x:t>
        </x:is>
      </x:c>
      <x:c r="R1" s="4" t="inlineStr">
        <x:is>
          <x:t xml:space="preserve">硬折扣超市数</x:t>
        </x:is>
      </x:c>
      <x:c r="S1" s="4" t="inlineStr">
        <x:is>
          <x:t xml:space="preserve">非生鲜食杂小店数</x:t>
        </x:is>
      </x:c>
      <x:c r="T1" s="4" t="inlineStr">
        <x:is>
          <x:t xml:space="preserve">农贸市场数</x:t>
        </x:is>
      </x:c>
      <x:c r="U1" s="4" t="inlineStr">
        <x:is>
          <x:t xml:space="preserve">社区超市数</x:t>
        </x:is>
      </x:c>
      <x:c r="V1" s="4" t="inlineStr">
        <x:is>
          <x:t xml:space="preserve">生鲜小店数</x:t>
        </x:is>
      </x:c>
      <x:c r="W1" s="4" t="inlineStr">
        <x:is>
          <x:t xml:space="preserve">SAM站数</x:t>
        </x:is>
      </x:c>
      <x:c r="X1" s="4" t="inlineStr">
        <x:is>
          <x:t xml:space="preserve">叮咚买菜站数</x:t>
        </x:is>
      </x:c>
      <x:c r="Y1" s="4" t="inlineStr">
        <x:is>
          <x:t xml:space="preserve">盒马鲜生站数</x:t>
        </x:is>
      </x:c>
      <x:c r="Z1" s="4" t="inlineStr">
        <x:is>
          <x:t xml:space="preserve">开站月份</x:t>
        </x:is>
      </x:c>
      <x:c r="AA1" s="4" t="inlineStr">
        <x:is>
          <x:t xml:space="preserve">M12_日均单量</x:t>
        </x:is>
      </x:c>
      <x:c r="AB1" s="4" t="inlineStr">
        <x:is>
          <x:t xml:space="preserve">轨迹_M0_日均单量</x:t>
        </x:is>
      </x:c>
      <x:c r="AC1" s="4" t="inlineStr">
        <x:is>
          <x:t xml:space="preserve">轨迹_M1_日均单量</x:t>
        </x:is>
      </x:c>
      <x:c r="AD1" s="4" t="inlineStr">
        <x:is>
          <x:t xml:space="preserve">轨迹_M2_日均单量</x:t>
        </x:is>
      </x:c>
      <x:c r="AE1" s="4" t="inlineStr">
        <x:is>
          <x:t xml:space="preserve">轨迹_M3_日均单量</x:t>
        </x:is>
      </x:c>
      <x:c r="AF1" s="4" t="inlineStr">
        <x:is>
          <x:t xml:space="preserve">轨迹_M4_日均单量</x:t>
        </x:is>
      </x:c>
      <x:c r="AG1" s="4" t="inlineStr">
        <x:is>
          <x:t xml:space="preserve">轨迹_M5_日均单量</x:t>
        </x:is>
      </x:c>
      <x:c r="AH1" s="4" t="inlineStr">
        <x:is>
          <x:t xml:space="preserve">轨迹_M6_日均单量</x:t>
        </x:is>
      </x:c>
      <x:c r="AI1" s="4" t="inlineStr">
        <x:is>
          <x:t xml:space="preserve">轨迹_M7_日均单量</x:t>
        </x:is>
      </x:c>
      <x:c r="AJ1" s="4" t="inlineStr">
        <x:is>
          <x:t xml:space="preserve">轨迹_M8_日均单量</x:t>
        </x:is>
      </x:c>
      <x:c r="AK1" s="4" t="inlineStr">
        <x:is>
          <x:t xml:space="preserve">轨迹_M9_日均单量</x:t>
        </x:is>
      </x:c>
      <x:c r="AL1" s="4" t="inlineStr">
        <x:is>
          <x:t xml:space="preserve">轨迹_M10_日均单量</x:t>
        </x:is>
      </x:c>
      <x:c r="AM1" s="4" t="inlineStr">
        <x:is>
          <x:t xml:space="preserve">轨迹_M11_日均单量</x:t>
        </x:is>
      </x:c>
      <x:c r="AN1" s="4" t="inlineStr">
        <x:is>
          <x:t xml:space="preserve">轨迹_M12_日均单量</x:t>
        </x:is>
      </x:c>
      <x:c r="AO1" s="4" t="inlineStr">
        <x:is>
          <x:t xml:space="preserve">M12_活跃度订单量_L5</x:t>
        </x:is>
      </x:c>
      <x:c r="AP1" s="4" t="inlineStr">
        <x:is>
          <x:t xml:space="preserve">M12_活跃度订单量_L4</x:t>
        </x:is>
      </x:c>
      <x:c r="AQ1" s="4" t="inlineStr">
        <x:is>
          <x:t xml:space="preserve">M12_活跃度订单量_L3</x:t>
        </x:is>
      </x:c>
      <x:c r="AR1" s="4" t="inlineStr">
        <x:is>
          <x:t xml:space="preserve">M12_活跃度订单量_L2</x:t>
        </x:is>
      </x:c>
      <x:c r="AS1" s="4" t="inlineStr">
        <x:is>
          <x:t xml:space="preserve">M12_活跃度订单量_L1</x:t>
        </x:is>
      </x:c>
      <x:c r="AT1" s="4" t="inlineStr">
        <x:is>
          <x:t xml:space="preserve">M12_活跃度订单量_精致度缺失</x:t>
        </x:is>
      </x:c>
      <x:c r="AU1" s="4" t="inlineStr">
        <x:is>
          <x:t xml:space="preserve">M12_活跃度订单占比_L5</x:t>
        </x:is>
      </x:c>
      <x:c r="AV1" s="4" t="inlineStr">
        <x:is>
          <x:t xml:space="preserve">M12_活跃度订单占比_L4</x:t>
        </x:is>
      </x:c>
      <x:c r="AW1" s="4" t="inlineStr">
        <x:is>
          <x:t xml:space="preserve">M12_活跃度订单占比_L3</x:t>
        </x:is>
      </x:c>
      <x:c r="AX1" s="4" t="inlineStr">
        <x:is>
          <x:t xml:space="preserve">M12_活跃度订单占比_L2</x:t>
        </x:is>
      </x:c>
      <x:c r="AY1" s="4" t="inlineStr">
        <x:is>
          <x:t xml:space="preserve">M12_活跃度订单占比_L1</x:t>
        </x:is>
      </x:c>
      <x:c r="AZ1" s="4" t="inlineStr">
        <x:is>
          <x:t xml:space="preserve">M12_活跃度订单占比_精致度缺失</x:t>
        </x:is>
      </x:c>
      <x:c r="BA1" s="4" t="inlineStr">
        <x:is>
          <x:t xml:space="preserve">M12_距离订单量_0~1.5km</x:t>
        </x:is>
      </x:c>
      <x:c r="BB1" s="4" t="inlineStr">
        <x:is>
          <x:t xml:space="preserve">M12_距离订单量_1.5~2.1km</x:t>
        </x:is>
      </x:c>
      <x:c r="BC1" s="4" t="inlineStr">
        <x:is>
          <x:t xml:space="preserve">M12_距离订单量_2.1~2.8km</x:t>
        </x:is>
      </x:c>
      <x:c r="BD1" s="4" t="inlineStr">
        <x:is>
          <x:t xml:space="preserve">M12_距离订单量_2.8~3.8km</x:t>
        </x:is>
      </x:c>
      <x:c r="BE1" s="4" t="inlineStr">
        <x:is>
          <x:t xml:space="preserve">M12_距离订单量_3.8km+</x:t>
        </x:is>
      </x:c>
      <x:c r="BF1" s="4" t="inlineStr">
        <x:is>
          <x:t xml:space="preserve">M12_距离订单量_自提或定位信息缺失</x:t>
        </x:is>
      </x:c>
      <x:c r="BG1" s="4" t="inlineStr">
        <x:is>
          <x:t xml:space="preserve">M12_距离订单占比_0~1.5km</x:t>
        </x:is>
      </x:c>
      <x:c r="BH1" s="4" t="inlineStr">
        <x:is>
          <x:t xml:space="preserve">M12_距离订单占比_1.5~2.1km</x:t>
        </x:is>
      </x:c>
      <x:c r="BI1" s="4" t="inlineStr">
        <x:is>
          <x:t xml:space="preserve">M12_距离订单占比_2.1~2.8km</x:t>
        </x:is>
      </x:c>
      <x:c r="BJ1" s="4" t="inlineStr">
        <x:is>
          <x:t xml:space="preserve">M12_距离订单占比_2.8~3.8km</x:t>
        </x:is>
      </x:c>
      <x:c r="BK1" s="4" t="inlineStr">
        <x:is>
          <x:t xml:space="preserve">M12_距离订单占比_3.8km+</x:t>
        </x:is>
      </x:c>
      <x:c r="BL1" s="4" t="inlineStr">
        <x:is>
          <x:t xml:space="preserve">M12_距离订单占比_自提或定位信息缺失</x:t>
        </x:is>
      </x:c>
    </x:row>
    <x:row r="2">
      <x:c r="A2" s="3" t="n">
        <x:v>10000688</x:v>
      </x:c>
      <x:c r="B2" s="6" t="n">
        <x:v>45038</x:v>
      </x:c>
      <x:c r="C2" s="5" t="n">
        <x:v>31818.2</x:v>
      </x:c>
      <x:c r="D2" s="5" t="n">
        <x:v>28682.6</x:v>
      </x:c>
      <x:c r="E2" s="5" t="n">
        <x:v>3135.6</x:v>
      </x:c>
      <x:c r="F2" s="3" t="n"/>
      <x:c r="G2" s="3" t="n"/>
      <x:c r="H2" s="3" t="n"/>
      <x:c r="I2" s="3" t="n">
        <x:v>139062</x:v>
      </x:c>
      <x:c r="J2" s="5" t="n">
        <x:v>0.005522716486171635</x:v>
      </x:c>
      <x:c r="K2" s="5" t="n">
        <x:v>0.05449367907839669</x:v>
      </x:c>
      <x:c r="L2" s="5" t="n">
        <x:v>0.1894478721721247</x:v>
      </x:c>
      <x:c r="M2" s="5" t="n">
        <x:v>0.4608448030374941</x:v>
      </x:c>
      <x:c r="N2" s="5" t="n">
        <x:v>0.1960132890365449</x:v>
      </x:c>
      <x:c r="O2" s="5" t="n">
        <x:v>0.09367764018926809</x:v>
      </x:c>
      <x:c r="P2" s="3" t="n">
        <x:v>42</x:v>
      </x:c>
      <x:c r="Q2" s="3" t="n">
        <x:v>6</x:v>
      </x:c>
      <x:c r="R2" s="3" t="n">
        <x:v>0</x:v>
      </x:c>
      <x:c r="S2" s="3" t="n">
        <x:v>21</x:v>
      </x:c>
      <x:c r="T2" s="3" t="n">
        <x:v>8</x:v>
      </x:c>
      <x:c r="U2" s="3" t="n">
        <x:v>6</x:v>
      </x:c>
      <x:c r="V2" s="3" t="n">
        <x:v>1</x:v>
      </x:c>
      <x:c r="W2" s="3" t="n">
        <x:v>0</x:v>
      </x:c>
      <x:c r="X2" s="3" t="n">
        <x:v>1</x:v>
      </x:c>
      <x:c r="Y2" s="3" t="n">
        <x:v>0</x:v>
      </x:c>
      <x:c r="Z2" s="3" t="n">
        <x:v>202304</x:v>
      </x:c>
      <x:c r="AA2" s="5" t="n">
        <x:v>1492.766666666667</x:v>
      </x:c>
      <x:c r="AB2" s="5" t="n">
        <x:v>1612.2</x:v>
      </x:c>
      <x:c r="AC2" s="5" t="n">
        <x:v>1511.966666666667</x:v>
      </x:c>
      <x:c r="AD2" s="5" t="n">
        <x:v>1471.666666666667</x:v>
      </x:c>
      <x:c r="AE2" s="5" t="n">
        <x:v>1524.9</x:v>
      </x:c>
      <x:c r="AF2" s="5" t="n">
        <x:v>1529.466666666667</x:v>
      </x:c>
      <x:c r="AG2" s="5" t="n">
        <x:v>1315.066666666667</x:v>
      </x:c>
      <x:c r="AH2" s="5" t="n">
        <x:v>1343.933333333333</x:v>
      </x:c>
      <x:c r="AI2" s="5" t="n">
        <x:v>1403.533333333333</x:v>
      </x:c>
      <x:c r="AJ2" s="5" t="n">
        <x:v>1366.333333333333</x:v>
      </x:c>
      <x:c r="AK2" s="5" t="n">
        <x:v>1108.333333333333</x:v>
      </x:c>
      <x:c r="AL2" s="5" t="n">
        <x:v>1394.266666666667</x:v>
      </x:c>
      <x:c r="AM2" s="5" t="n">
        <x:v>1469.866666666667</x:v>
      </x:c>
      <x:c r="AN2" s="5" t="n">
        <x:v>1492.766666666667</x:v>
      </x:c>
      <x:c r="AO2" s="5" t="n">
        <x:v>550.9333333333333</x:v>
      </x:c>
      <x:c r="AP2" s="5" t="n">
        <x:v>743.6333333333333</x:v>
      </x:c>
      <x:c r="AQ2" s="5" t="n">
        <x:v>152.4</x:v>
      </x:c>
      <x:c r="AR2" s="5" t="n">
        <x:v>33.1</x:v>
      </x:c>
      <x:c r="AS2" s="3" t="n">
        <x:v>3</x:v>
      </x:c>
      <x:c r="AT2" s="5" t="n">
        <x:v>9.699999999999999</x:v>
      </x:c>
      <x:c r="AU2" s="5" t="n">
        <x:v>0.3690686197887591</x:v>
      </x:c>
      <x:c r="AV2" s="5" t="n">
        <x:v>0.4981577830873323</x:v>
      </x:c>
      <x:c r="AW2" s="5" t="n">
        <x:v>0.1020923118147511</x:v>
      </x:c>
      <x:c r="AX2" s="5" t="n">
        <x:v>0.02217359265792823</x:v>
      </x:c>
      <x:c r="AY2" s="5" t="n">
        <x:v>0.002009691177455731</x:v>
      </x:c>
      <x:c r="AZ2" s="5" t="n">
        <x:v>0.00649800147377353</x:v>
      </x:c>
      <x:c r="BA2" s="5" t="n">
        <x:v>759.1333333333333</x:v>
      </x:c>
      <x:c r="BB2" s="5" t="n">
        <x:v>432.8</x:v>
      </x:c>
      <x:c r="BC2" s="3" t="n">
        <x:v>288</x:v>
      </x:c>
      <x:c r="BD2" s="5" t="n">
        <x:v>0.9</x:v>
      </x:c>
      <x:c r="BE2" s="3" t="n">
        <x:v>0</x:v>
      </x:c>
      <x:c r="BF2" s="5" t="n">
        <x:v>11.93333333333333</x:v>
      </x:c>
      <x:c r="BG2" s="5" t="n">
        <x:v>0.5085411875041869</x:v>
      </x:c>
      <x:c r="BH2" s="5" t="n">
        <x:v>0.2899314472009468</x:v>
      </x:c>
      <x:c r="BI2" s="5" t="n">
        <x:v>0.1929303530357502</x:v>
      </x:c>
      <x:c r="BJ2" s="5" t="n">
        <x:v>0.0006029073532367194</x:v>
      </x:c>
      <x:c r="BK2" s="3" t="n">
        <x:v>0</x:v>
      </x:c>
      <x:c r="BL2" s="5" t="n">
        <x:v>0.007994104905879464</x:v>
      </x:c>
    </x:row>
    <x:row r="3">
      <x:c r="A3" s="3" t="n">
        <x:v>10000691</x:v>
      </x:c>
      <x:c r="B3" s="6" t="n">
        <x:v>45044</x:v>
      </x:c>
      <x:c r="C3" s="5" t="n">
        <x:v>49139.5</x:v>
      </x:c>
      <x:c r="D3" s="5" t="n">
        <x:v>40674.3</x:v>
      </x:c>
      <x:c r="E3" s="5" t="n">
        <x:v>8465.200000000001</x:v>
      </x:c>
      <x:c r="F3" s="3" t="n"/>
      <x:c r="G3" s="3" t="n"/>
      <x:c r="H3" s="3" t="n"/>
      <x:c r="I3" s="3" t="n">
        <x:v>115490</x:v>
      </x:c>
      <x:c r="J3" s="5" t="n">
        <x:v>0.002363841025196987</x:v>
      </x:c>
      <x:c r="K3" s="5" t="n">
        <x:v>0.02853926746904494</x:v>
      </x:c>
      <x:c r="L3" s="5" t="n">
        <x:v>0.1365399601697117</x:v>
      </x:c>
      <x:c r="M3" s="5" t="n">
        <x:v>0.4753485150229457</x:v>
      </x:c>
      <x:c r="N3" s="5" t="n">
        <x:v>0.2727941813143995</x:v>
      </x:c>
      <x:c r="O3" s="5" t="n">
        <x:v>0.08441423499870118</x:v>
      </x:c>
      <x:c r="P3" s="3" t="n">
        <x:v>38</x:v>
      </x:c>
      <x:c r="Q3" s="3" t="n">
        <x:v>4</x:v>
      </x:c>
      <x:c r="R3" s="3" t="n">
        <x:v>1</x:v>
      </x:c>
      <x:c r="S3" s="3" t="n">
        <x:v>18</x:v>
      </x:c>
      <x:c r="T3" s="3" t="n">
        <x:v>4</x:v>
      </x:c>
      <x:c r="U3" s="3" t="n">
        <x:v>8</x:v>
      </x:c>
      <x:c r="V3" s="3" t="n">
        <x:v>3</x:v>
      </x:c>
      <x:c r="W3" s="3" t="n">
        <x:v>0</x:v>
      </x:c>
      <x:c r="X3" s="3" t="n">
        <x:v>1</x:v>
      </x:c>
      <x:c r="Y3" s="3" t="n">
        <x:v>0</x:v>
      </x:c>
      <x:c r="Z3" s="3" t="n">
        <x:v>202304</x:v>
      </x:c>
      <x:c r="AA3" s="5" t="n">
        <x:v>1149.3</x:v>
      </x:c>
      <x:c r="AB3" s="5" t="n">
        <x:v>1627.1</x:v>
      </x:c>
      <x:c r="AC3" s="5" t="n">
        <x:v>1063.8</x:v>
      </x:c>
      <x:c r="AD3" s="5" t="n">
        <x:v>1158.766666666667</x:v>
      </x:c>
      <x:c r="AE3" s="5" t="n">
        <x:v>1242.866666666667</x:v>
      </x:c>
      <x:c r="AF3" s="5" t="n">
        <x:v>1228.433333333333</x:v>
      </x:c>
      <x:c r="AG3" s="3" t="n">
        <x:v>1047</x:v>
      </x:c>
      <x:c r="AH3" s="5" t="n">
        <x:v>1086.1</x:v>
      </x:c>
      <x:c r="AI3" s="5" t="n">
        <x:v>1165.266666666667</x:v>
      </x:c>
      <x:c r="AJ3" s="5" t="n">
        <x:v>1099.433333333333</x:v>
      </x:c>
      <x:c r="AK3" s="5" t="n">
        <x:v>946.2</x:v>
      </x:c>
      <x:c r="AL3" s="5" t="n">
        <x:v>1110.7</x:v>
      </x:c>
      <x:c r="AM3" s="5" t="n">
        <x:v>1176.566666666667</x:v>
      </x:c>
      <x:c r="AN3" s="5" t="n">
        <x:v>1149.3</x:v>
      </x:c>
      <x:c r="AO3" s="5" t="n">
        <x:v>502.6</x:v>
      </x:c>
      <x:c r="AP3" s="5" t="n">
        <x:v>541.2333333333333</x:v>
      </x:c>
      <x:c r="AQ3" s="5" t="n">
        <x:v>83.33333333333333</x:v>
      </x:c>
      <x:c r="AR3" s="5" t="n">
        <x:v>13.63333333333333</x:v>
      </x:c>
      <x:c r="AS3" s="5" t="n">
        <x:v>1.033333333333333</x:v>
      </x:c>
      <x:c r="AT3" s="5" t="n">
        <x:v>7.466666666666667</x:v>
      </x:c>
      <x:c r="AU3" s="5" t="n">
        <x:v>0.4373096667536762</x:v>
      </x:c>
      <x:c r="AV3" s="5" t="n">
        <x:v>0.470924330752052</x:v>
      </x:c>
      <x:c r="AW3" s="5" t="n">
        <x:v>0.0725079033614664</x:v>
      </x:c>
      <x:c r="AX3" s="5" t="n">
        <x:v>0.0118622929899359</x:v>
      </x:c>
      <x:c r="AY3" s="5" t="n">
        <x:v>0.0008990980016821834</x:v>
      </x:c>
      <x:c r="AZ3" s="5" t="n">
        <x:v>0.006496708141187389</x:v>
      </x:c>
      <x:c r="BA3" s="5" t="n">
        <x:v>663.0333333333333</x:v>
      </x:c>
      <x:c r="BB3" s="5" t="n">
        <x:v>400.7</x:v>
      </x:c>
      <x:c r="BC3" s="5" t="n">
        <x:v>65.76666666666667</x:v>
      </x:c>
      <x:c r="BD3" s="5" t="n">
        <x:v>0.03333333333333333</x:v>
      </x:c>
      <x:c r="BE3" s="3" t="n">
        <x:v>0</x:v>
      </x:c>
      <x:c r="BF3" s="5" t="n">
        <x:v>19.76666666666667</x:v>
      </x:c>
      <x:c r="BG3" s="5" t="n">
        <x:v>0.5769018823051713</x:v>
      </x:c>
      <x:c r="BH3" s="5" t="n">
        <x:v>0.348647002523275</x:v>
      </x:c>
      <x:c r="BI3" s="5" t="n">
        <x:v>0.05722323733286928</x:v>
      </x:c>
      <x:c r="BJ3" s="5" t="n">
        <x:v>2.900316134458656e-05</x:v>
      </x:c>
      <x:c r="BK3" s="3" t="n">
        <x:v>0</x:v>
      </x:c>
      <x:c r="BL3" s="5" t="n">
        <x:v>0.01719887467733983</x:v>
      </x:c>
    </x:row>
    <x:row r="4">
      <x:c r="A4" s="3" t="n">
        <x:v>10000692</x:v>
      </x:c>
      <x:c r="B4" s="6" t="n">
        <x:v>45059</x:v>
      </x:c>
      <x:c r="C4" s="5" t="n">
        <x:v>56854.6</x:v>
      </x:c>
      <x:c r="D4" s="5" t="n">
        <x:v>44388.2</x:v>
      </x:c>
      <x:c r="E4" s="5" t="n">
        <x:v>12466.4</x:v>
      </x:c>
      <x:c r="F4" s="3" t="n"/>
      <x:c r="G4" s="3" t="n"/>
      <x:c r="H4" s="3" t="n"/>
      <x:c r="I4" s="3" t="n">
        <x:v>155814</x:v>
      </x:c>
      <x:c r="J4" s="5" t="n">
        <x:v>0.003510595966986278</x:v>
      </x:c>
      <x:c r="K4" s="5" t="n">
        <x:v>0.03577984006571938</x:v>
      </x:c>
      <x:c r="L4" s="5" t="n">
        <x:v>0.1506154774282157</x:v>
      </x:c>
      <x:c r="M4" s="5" t="n">
        <x:v>0.4537589690271734</x:v>
      </x:c>
      <x:c r="N4" s="5" t="n">
        <x:v>0.2286572451769417</x:v>
      </x:c>
      <x:c r="O4" s="5" t="n">
        <x:v>0.1276778723349635</x:v>
      </x:c>
      <x:c r="P4" s="3" t="n">
        <x:v>43</x:v>
      </x:c>
      <x:c r="Q4" s="3" t="n">
        <x:v>2</x:v>
      </x:c>
      <x:c r="R4" s="3" t="n">
        <x:v>0</x:v>
      </x:c>
      <x:c r="S4" s="3" t="n">
        <x:v>23</x:v>
      </x:c>
      <x:c r="T4" s="3" t="n">
        <x:v>8</x:v>
      </x:c>
      <x:c r="U4" s="3" t="n">
        <x:v>7</x:v>
      </x:c>
      <x:c r="V4" s="3" t="n">
        <x:v>3</x:v>
      </x:c>
      <x:c r="W4" s="3" t="n">
        <x:v>1</x:v>
      </x:c>
      <x:c r="X4" s="3" t="n">
        <x:v>2</x:v>
      </x:c>
      <x:c r="Y4" s="3" t="n">
        <x:v>0</x:v>
      </x:c>
      <x:c r="Z4" s="3" t="n">
        <x:v>202305</x:v>
      </x:c>
      <x:c r="AA4" s="5" t="n">
        <x:v>1449.866666666667</x:v>
      </x:c>
      <x:c r="AB4" s="5" t="n">
        <x:v>1582.6</x:v>
      </x:c>
      <x:c r="AC4" s="5" t="n">
        <x:v>1232.166666666667</x:v>
      </x:c>
      <x:c r="AD4" s="3" t="n">
        <x:v>1146</x:v>
      </x:c>
      <x:c r="AE4" s="5" t="n">
        <x:v>1167.5</x:v>
      </x:c>
      <x:c r="AF4" s="5" t="n">
        <x:v>1160.466666666667</x:v>
      </x:c>
      <x:c r="AG4" s="5" t="n">
        <x:v>1044.033333333333</x:v>
      </x:c>
      <x:c r="AH4" s="5" t="n">
        <x:v>1172.633333333333</x:v>
      </x:c>
      <x:c r="AI4" s="5" t="n">
        <x:v>1280.9</x:v>
      </x:c>
      <x:c r="AJ4" s="5" t="n">
        <x:v>1168.466666666667</x:v>
      </x:c>
      <x:c r="AK4" s="5" t="n">
        <x:v>1171.966666666667</x:v>
      </x:c>
      <x:c r="AL4" s="5" t="n">
        <x:v>1321.433333333333</x:v>
      </x:c>
      <x:c r="AM4" s="5" t="n">
        <x:v>1391.833333333333</x:v>
      </x:c>
      <x:c r="AN4" s="5" t="n">
        <x:v>1449.866666666667</x:v>
      </x:c>
      <x:c r="AO4" s="5" t="n">
        <x:v>652.7333333333333</x:v>
      </x:c>
      <x:c r="AP4" s="5" t="n">
        <x:v>659.4333333333333</x:v>
      </x:c>
      <x:c r="AQ4" s="5" t="n">
        <x:v>103.4</x:v>
      </x:c>
      <x:c r="AR4" s="5" t="n">
        <x:v>20.4</x:v>
      </x:c>
      <x:c r="AS4" s="5" t="n">
        <x:v>2.766666666666667</x:v>
      </x:c>
      <x:c r="AT4" s="5" t="n">
        <x:v>11.13333333333333</x:v>
      </x:c>
      <x:c r="AU4" s="5" t="n">
        <x:v>0.4502023174544786</x:v>
      </x:c>
      <x:c r="AV4" s="5" t="n">
        <x:v>0.4548234320397278</x:v>
      </x:c>
      <x:c r="AW4" s="5" t="n">
        <x:v>0.07131690270369689</x:v>
      </x:c>
      <x:c r="AX4" s="5" t="n">
        <x:v>0.01407025933419165</x:v>
      </x:c>
      <x:c r="AY4" s="5" t="n">
        <x:v>0.001908221445650175</x:v>
      </x:c>
      <x:c r="AZ4" s="5" t="n">
        <x:v>0.00767886702225492</x:v>
      </x:c>
      <x:c r="BA4" s="5" t="n">
        <x:v>408.2333333333333</x:v>
      </x:c>
      <x:c r="BB4" s="5" t="n">
        <x:v>588.1333333333333</x:v>
      </x:c>
      <x:c r="BC4" s="5" t="n">
        <x:v>318.4666666666666</x:v>
      </x:c>
      <x:c r="BD4" s="5" t="n">
        <x:v>109.0666666666667</x:v>
      </x:c>
      <x:c r="BE4" s="3" t="n">
        <x:v>0</x:v>
      </x:c>
      <x:c r="BF4" s="5" t="n">
        <x:v>25.96666666666667</x:v>
      </x:c>
      <x:c r="BG4" s="5" t="n">
        <x:v>0.2815661210226228</x:v>
      </x:c>
      <x:c r="BH4" s="5" t="n">
        <x:v>0.4056464962295384</x:v>
      </x:c>
      <x:c r="BI4" s="5" t="n">
        <x:v>0.2196523818282141</x:v>
      </x:c>
      <x:c r="BJ4" s="5" t="n">
        <x:v>0.07522530807430569</x:v>
      </x:c>
      <x:c r="BK4" s="3" t="n">
        <x:v>0</x:v>
      </x:c>
      <x:c r="BL4" s="5" t="n">
        <x:v>0.01790969284531911</x:v>
      </x:c>
    </x:row>
    <x:row r="5">
      <x:c r="A5" s="3" t="n">
        <x:v>10000693</x:v>
      </x:c>
      <x:c r="B5" s="6" t="n">
        <x:v>45065</x:v>
      </x:c>
      <x:c r="C5" s="5" t="n">
        <x:v>30710.2</x:v>
      </x:c>
      <x:c r="D5" s="5" t="n">
        <x:v>16566.2</x:v>
      </x:c>
      <x:c r="E5" s="3" t="n">
        <x:v>12228</x:v>
      </x:c>
      <x:c r="F5" s="3" t="n">
        <x:v>1916</x:v>
      </x:c>
      <x:c r="G5" s="3" t="n"/>
      <x:c r="H5" s="3" t="n"/>
      <x:c r="I5" s="3" t="n">
        <x:v>106703</x:v>
      </x:c>
      <x:c r="J5" s="5" t="n">
        <x:v>0.005482507520875702</x:v>
      </x:c>
      <x:c r="K5" s="5" t="n">
        <x:v>0.06126350711788797</x:v>
      </x:c>
      <x:c r="L5" s="5" t="n">
        <x:v>0.207876067214605</x:v>
      </x:c>
      <x:c r="M5" s="5" t="n">
        <x:v>0.4638201362660844</x:v>
      </x:c>
      <x:c r="N5" s="5" t="n">
        <x:v>0.1839310984695838</x:v>
      </x:c>
      <x:c r="O5" s="5" t="n">
        <x:v>0.07762668341096314</x:v>
      </x:c>
      <x:c r="P5" s="3" t="n">
        <x:v>22</x:v>
      </x:c>
      <x:c r="Q5" s="3" t="n">
        <x:v>3</x:v>
      </x:c>
      <x:c r="R5" s="3" t="n">
        <x:v>0</x:v>
      </x:c>
      <x:c r="S5" s="3" t="n">
        <x:v>11</x:v>
      </x:c>
      <x:c r="T5" s="3" t="n">
        <x:v>4</x:v>
      </x:c>
      <x:c r="U5" s="3" t="n">
        <x:v>3</x:v>
      </x:c>
      <x:c r="V5" s="3" t="n">
        <x:v>1</x:v>
      </x:c>
      <x:c r="W5" s="3" t="n">
        <x:v>0</x:v>
      </x:c>
      <x:c r="X5" s="3" t="n">
        <x:v>0</x:v>
      </x:c>
      <x:c r="Y5" s="3" t="n">
        <x:v>0</x:v>
      </x:c>
      <x:c r="Z5" s="3" t="n">
        <x:v>202305</x:v>
      </x:c>
      <x:c r="AA5" s="5" t="n">
        <x:v>1339.5</x:v>
      </x:c>
      <x:c r="AB5" s="5" t="n">
        <x:v>1852.333333333333</x:v>
      </x:c>
      <x:c r="AC5" s="5" t="n">
        <x:v>1372.766666666667</x:v>
      </x:c>
      <x:c r="AD5" s="5" t="n">
        <x:v>1437.666666666667</x:v>
      </x:c>
      <x:c r="AE5" s="5" t="n">
        <x:v>1379.466666666667</x:v>
      </x:c>
      <x:c r="AF5" s="5" t="n">
        <x:v>1220.5</x:v>
      </x:c>
      <x:c r="AG5" s="5" t="n">
        <x:v>1290.866666666667</x:v>
      </x:c>
      <x:c r="AH5" s="5" t="n">
        <x:v>1253.766666666667</x:v>
      </x:c>
      <x:c r="AI5" s="5" t="n">
        <x:v>1296.933333333333</x:v>
      </x:c>
      <x:c r="AJ5" s="5" t="n">
        <x:v>1095.7</x:v>
      </x:c>
      <x:c r="AK5" s="5" t="n">
        <x:v>1252.7</x:v>
      </x:c>
      <x:c r="AL5" s="5" t="n">
        <x:v>1401.533333333333</x:v>
      </x:c>
      <x:c r="AM5" s="5" t="n">
        <x:v>1514.466666666667</x:v>
      </x:c>
      <x:c r="AN5" s="5" t="n">
        <x:v>1339.5</x:v>
      </x:c>
      <x:c r="AO5" s="5" t="n">
        <x:v>402.2666666666667</x:v>
      </x:c>
      <x:c r="AP5" s="5" t="n">
        <x:v>683.3666666666667</x:v>
      </x:c>
      <x:c r="AQ5" s="5" t="n">
        <x:v>199.2333333333333</x:v>
      </x:c>
      <x:c r="AR5" s="5" t="n">
        <x:v>40.83333333333334</x:v>
      </x:c>
      <x:c r="AS5" s="5" t="n">
        <x:v>3.2</x:v>
      </x:c>
      <x:c r="AT5" s="5" t="n">
        <x:v>10.6</x:v>
      </x:c>
      <x:c r="AU5" s="5" t="n">
        <x:v>0.3003110613412965</x:v>
      </x:c>
      <x:c r="AV5" s="5" t="n">
        <x:v>0.5101654846335697</x:v>
      </x:c>
      <x:c r="AW5" s="5" t="n">
        <x:v>0.1487370909543362</x:v>
      </x:c>
      <x:c r="AX5" s="5" t="n">
        <x:v>0.03048401144705736</x:v>
      </x:c>
      <x:c r="AY5" s="5" t="n">
        <x:v>0.002388951101157148</x:v>
      </x:c>
      <x:c r="AZ5" s="5" t="n">
        <x:v>0.007913400522583052</x:v>
      </x:c>
      <x:c r="BA5" s="5" t="n">
        <x:v>348.7666666666667</x:v>
      </x:c>
      <x:c r="BB5" s="5" t="n">
        <x:v>392.9333333333333</x:v>
      </x:c>
      <x:c r="BC5" s="5" t="n">
        <x:v>308.5</x:v>
      </x:c>
      <x:c r="BD5" s="5" t="n">
        <x:v>261.7</x:v>
      </x:c>
      <x:c r="BE5" s="3" t="n">
        <x:v>1</x:v>
      </x:c>
      <x:c r="BF5" s="5" t="n">
        <x:v>26.6</x:v>
      </x:c>
      <x:c r="BG5" s="5" t="n">
        <x:v>0.2603707851188254</x:v>
      </x:c>
      <x:c r="BH5" s="5" t="n">
        <x:v>0.2933432872962548</x:v>
      </x:c>
      <x:c r="BI5" s="5" t="n">
        <x:v>0.2303098170959313</x:v>
      </x:c>
      <x:c r="BJ5" s="5" t="n">
        <x:v>0.195371407241508</x:v>
      </x:c>
      <x:c r="BK5" s="5" t="n">
        <x:v>0.0007465472191116088</x:v>
      </x:c>
      <x:c r="BL5" s="5" t="n">
        <x:v>0.0198581560283688</x:v>
      </x:c>
    </x:row>
    <x:row r="6">
      <x:c r="A6" s="3" t="n">
        <x:v>10000694</x:v>
      </x:c>
      <x:c r="B6" s="6" t="n">
        <x:v>45065</x:v>
      </x:c>
      <x:c r="C6" s="3" t="n">
        <x:v>37991</x:v>
      </x:c>
      <x:c r="D6" s="5" t="n">
        <x:v>22733.2</x:v>
      </x:c>
      <x:c r="E6" s="5" t="n">
        <x:v>8142.9</x:v>
      </x:c>
      <x:c r="F6" s="5" t="n">
        <x:v>4051.8</x:v>
      </x:c>
      <x:c r="G6" s="5" t="n">
        <x:v>3063.1</x:v>
      </x:c>
      <x:c r="H6" s="3" t="n"/>
      <x:c r="I6" s="3" t="n">
        <x:v>128931</x:v>
      </x:c>
      <x:c r="J6" s="5" t="n">
        <x:v>0.01058705819391768</x:v>
      </x:c>
      <x:c r="K6" s="5" t="n">
        <x:v>0.07182911790027224</x:v>
      </x:c>
      <x:c r="L6" s="5" t="n">
        <x:v>0.2012782030698591</x:v>
      </x:c>
      <x:c r="M6" s="5" t="n">
        <x:v>0.4494962421760477</x:v>
      </x:c>
      <x:c r="N6" s="5" t="n">
        <x:v>0.188403099332201</x:v>
      </x:c>
      <x:c r="O6" s="5" t="n">
        <x:v>0.07840627932770242</x:v>
      </x:c>
      <x:c r="P6" s="3" t="n">
        <x:v>20</x:v>
      </x:c>
      <x:c r="Q6" s="3" t="n">
        <x:v>5</x:v>
      </x:c>
      <x:c r="R6" s="3" t="n">
        <x:v>0</x:v>
      </x:c>
      <x:c r="S6" s="3" t="n">
        <x:v>8</x:v>
      </x:c>
      <x:c r="T6" s="3" t="n">
        <x:v>2</x:v>
      </x:c>
      <x:c r="U6" s="3" t="n">
        <x:v>2</x:v>
      </x:c>
      <x:c r="V6" s="3" t="n">
        <x:v>3</x:v>
      </x:c>
      <x:c r="W6" s="3" t="n">
        <x:v>1</x:v>
      </x:c>
      <x:c r="X6" s="3" t="n">
        <x:v>2</x:v>
      </x:c>
      <x:c r="Y6" s="3" t="n">
        <x:v>0</x:v>
      </x:c>
      <x:c r="Z6" s="3" t="n">
        <x:v>202305</x:v>
      </x:c>
      <x:c r="AA6" s="5" t="n">
        <x:v>1337.933333333333</x:v>
      </x:c>
      <x:c r="AB6" s="5" t="n">
        <x:v>1495.966666666667</x:v>
      </x:c>
      <x:c r="AC6" s="5" t="n">
        <x:v>1112.233333333333</x:v>
      </x:c>
      <x:c r="AD6" s="5" t="n">
        <x:v>1240.033333333333</x:v>
      </x:c>
      <x:c r="AE6" s="5" t="n">
        <x:v>1331.733333333333</x:v>
      </x:c>
      <x:c r="AF6" s="5" t="n">
        <x:v>1184.1</x:v>
      </x:c>
      <x:c r="AG6" s="5" t="n">
        <x:v>1197.033333333333</x:v>
      </x:c>
      <x:c r="AH6" s="5" t="n">
        <x:v>1105.066666666667</x:v>
      </x:c>
      <x:c r="AI6" s="5" t="n">
        <x:v>1162.6</x:v>
      </x:c>
      <x:c r="AJ6" s="5" t="n">
        <x:v>992.4333333333333</x:v>
      </x:c>
      <x:c r="AK6" s="5" t="n">
        <x:v>1108.6</x:v>
      </x:c>
      <x:c r="AL6" s="5" t="n">
        <x:v>1244.933333333333</x:v>
      </x:c>
      <x:c r="AM6" s="5" t="n">
        <x:v>1294.2</x:v>
      </x:c>
      <x:c r="AN6" s="5" t="n">
        <x:v>1337.933333333333</x:v>
      </x:c>
      <x:c r="AO6" s="5" t="n">
        <x:v>526.2666666666667</x:v>
      </x:c>
      <x:c r="AP6" s="5" t="n">
        <x:v>651.3</x:v>
      </x:c>
      <x:c r="AQ6" s="5" t="n">
        <x:v>128.7</x:v>
      </x:c>
      <x:c r="AR6" s="5" t="n">
        <x:v>22.4</x:v>
      </x:c>
      <x:c r="AS6" s="5" t="n">
        <x:v>1.5</x:v>
      </x:c>
      <x:c r="AT6" s="5" t="n">
        <x:v>7.766666666666667</x:v>
      </x:c>
      <x:c r="AU6" s="5" t="n">
        <x:v>0.3933429667646619</x:v>
      </x:c>
      <x:c r="AV6" s="5" t="n">
        <x:v>0.4867955553340973</x:v>
      </x:c>
      <x:c r="AW6" s="5" t="n">
        <x:v>0.09619313368877372</x:v>
      </x:c>
      <x:c r="AX6" s="5" t="n">
        <x:v>0.01674223927450296</x:v>
      </x:c>
      <x:c r="AY6" s="5" t="n">
        <x:v>0.001121132094274752</x:v>
      </x:c>
      <x:c r="AZ6" s="5" t="n">
        <x:v>0.005804972843689271</x:v>
      </x:c>
      <x:c r="BA6" s="5" t="n">
        <x:v>648.6333333333333</x:v>
      </x:c>
      <x:c r="BB6" s="5" t="n">
        <x:v>252.6333333333333</x:v>
      </x:c>
      <x:c r="BC6" s="5" t="n">
        <x:v>269.7666666666667</x:v>
      </x:c>
      <x:c r="BD6" s="5" t="n">
        <x:v>136.3333333333333</x:v>
      </x:c>
      <x:c r="BE6" s="5" t="n">
        <x:v>4.3</x:v>
      </x:c>
      <x:c r="BF6" s="5" t="n">
        <x:v>26.26666666666667</x:v>
      </x:c>
      <x:c r="BG6" s="5" t="n">
        <x:v>0.4848024316109422</x:v>
      </x:c>
      <x:c r="BH6" s="5" t="n">
        <x:v>0.1888235587224077</x:v>
      </x:c>
      <x:c r="BI6" s="5" t="n">
        <x:v>0.2016293786436793</x:v>
      </x:c>
      <x:c r="BJ6" s="5" t="n">
        <x:v>0.1018984503463052</x:v>
      </x:c>
      <x:c r="BK6" s="5" t="n">
        <x:v>0.003213912003587623</x:v>
      </x:c>
      <x:c r="BL6" s="5" t="n">
        <x:v>0.01963226867307788</x:v>
      </x:c>
    </x:row>
    <x:row r="7">
      <x:c r="A7" s="3" t="n">
        <x:v>10000695</x:v>
      </x:c>
      <x:c r="B7" s="6" t="n">
        <x:v>45057</x:v>
      </x:c>
      <x:c r="C7" s="5" t="n">
        <x:v>54262.9</x:v>
      </x:c>
      <x:c r="D7" s="5" t="n">
        <x:v>26967.5</x:v>
      </x:c>
      <x:c r="E7" s="5" t="n">
        <x:v>10413.9</x:v>
      </x:c>
      <x:c r="F7" s="5" t="n">
        <x:v>10211.5</x:v>
      </x:c>
      <x:c r="G7" s="3" t="n">
        <x:v>6670</x:v>
      </x:c>
      <x:c r="H7" s="3" t="n"/>
      <x:c r="I7" s="3" t="n">
        <x:v>149341</x:v>
      </x:c>
      <x:c r="J7" s="5" t="n">
        <x:v>0.003060110753242579</x:v>
      </x:c>
      <x:c r="K7" s="5" t="n">
        <x:v>0.04038408742408314</x:v>
      </x:c>
      <x:c r="L7" s="5" t="n">
        <x:v>0.1577195813607783</x:v>
      </x:c>
      <x:c r="M7" s="5" t="n">
        <x:v>0.4769956006722869</x:v>
      </x:c>
      <x:c r="N7" s="5" t="n">
        <x:v>0.2517727884505929</x:v>
      </x:c>
      <x:c r="O7" s="5" t="n">
        <x:v>0.07006783133901608</x:v>
      </x:c>
      <x:c r="P7" s="3" t="n">
        <x:v>37</x:v>
      </x:c>
      <x:c r="Q7" s="3" t="n">
        <x:v>2</x:v>
      </x:c>
      <x:c r="R7" s="3" t="n">
        <x:v>0</x:v>
      </x:c>
      <x:c r="S7" s="3" t="n">
        <x:v>22</x:v>
      </x:c>
      <x:c r="T7" s="3" t="n">
        <x:v>2</x:v>
      </x:c>
      <x:c r="U7" s="3" t="n">
        <x:v>7</x:v>
      </x:c>
      <x:c r="V7" s="3" t="n">
        <x:v>4</x:v>
      </x:c>
      <x:c r="W7" s="3" t="n">
        <x:v>1</x:v>
      </x:c>
      <x:c r="X7" s="3" t="n">
        <x:v>2</x:v>
      </x:c>
      <x:c r="Y7" s="3" t="n">
        <x:v>1</x:v>
      </x:c>
      <x:c r="Z7" s="3" t="n">
        <x:v>202305</x:v>
      </x:c>
      <x:c r="AA7" s="5" t="n">
        <x:v>1842.066666666667</x:v>
      </x:c>
      <x:c r="AB7" s="5" t="n">
        <x:v>1482.1</x:v>
      </x:c>
      <x:c r="AC7" s="5" t="n">
        <x:v>1319.866666666667</x:v>
      </x:c>
      <x:c r="AD7" s="5" t="n">
        <x:v>1417.366666666667</x:v>
      </x:c>
      <x:c r="AE7" s="5" t="n">
        <x:v>1452.133333333333</x:v>
      </x:c>
      <x:c r="AF7" s="5" t="n">
        <x:v>1336.666666666667</x:v>
      </x:c>
      <x:c r="AG7" s="5" t="n">
        <x:v>1355.166666666667</x:v>
      </x:c>
      <x:c r="AH7" s="5" t="n">
        <x:v>1353.366666666667</x:v>
      </x:c>
      <x:c r="AI7" s="5" t="n">
        <x:v>1386.733333333333</x:v>
      </x:c>
      <x:c r="AJ7" s="5" t="n">
        <x:v>1395.766666666667</x:v>
      </x:c>
      <x:c r="AK7" s="5" t="n">
        <x:v>1291.933333333333</x:v>
      </x:c>
      <x:c r="AL7" s="5" t="n">
        <x:v>1550.933333333333</x:v>
      </x:c>
      <x:c r="AM7" s="3" t="n">
        <x:v>1785</x:v>
      </x:c>
      <x:c r="AN7" s="5" t="n">
        <x:v>1842.066666666667</x:v>
      </x:c>
      <x:c r="AO7" s="5" t="n">
        <x:v>735.0666666666667</x:v>
      </x:c>
      <x:c r="AP7" s="5" t="n">
        <x:v>894.9</x:v>
      </x:c>
      <x:c r="AQ7" s="5" t="n">
        <x:v>166.4666666666667</x:v>
      </x:c>
      <x:c r="AR7" s="3" t="n">
        <x:v>32</x:v>
      </x:c>
      <x:c r="AS7" s="5" t="n">
        <x:v>1.9</x:v>
      </x:c>
      <x:c r="AT7" s="5" t="n">
        <x:v>11.73333333333333</x:v>
      </x:c>
      <x:c r="AU7" s="5" t="n">
        <x:v>0.3990445514096486</x:v>
      </x:c>
      <x:c r="AV7" s="5" t="n">
        <x:v>0.4858130360826608</x:v>
      </x:c>
      <x:c r="AW7" s="5" t="n">
        <x:v>0.09036951250407152</x:v>
      </x:c>
      <x:c r="AX7" s="5" t="n">
        <x:v>0.01737179255184394</x:v>
      </x:c>
      <x:c r="AY7" s="5" t="n">
        <x:v>0.001031450182765734</x:v>
      </x:c>
      <x:c r="AZ7" s="5" t="n">
        <x:v>0.006369657269009446</x:v>
      </x:c>
      <x:c r="BA7" s="5" t="n">
        <x:v>778.8666666666667</x:v>
      </x:c>
      <x:c r="BB7" s="5" t="n">
        <x:v>608.0333333333333</x:v>
      </x:c>
      <x:c r="BC7" s="5" t="n">
        <x:v>215.2</x:v>
      </x:c>
      <x:c r="BD7" s="5" t="n">
        <x:v>202.7666666666667</x:v>
      </x:c>
      <x:c r="BE7" s="5" t="n">
        <x:v>7.633333333333334</x:v>
      </x:c>
      <x:c r="BF7" s="5" t="n">
        <x:v>29.56666666666667</x:v>
      </x:c>
      <x:c r="BG7" s="5" t="n">
        <x:v>0.422822192464985</x:v>
      </x:c>
      <x:c r="BH7" s="5" t="n">
        <x:v>0.3300821541022764</x:v>
      </x:c>
      <x:c r="BI7" s="5" t="n">
        <x:v>0.1168253049111505</x:v>
      </x:c>
      <x:c r="BJ7" s="5" t="n">
        <x:v>0.1100756396800695</x:v>
      </x:c>
      <x:c r="BK7" s="5" t="n">
        <x:v>0.004143896348304441</x:v>
      </x:c>
      <x:c r="BL7" s="5" t="n">
        <x:v>0.01605081249321414</x:v>
      </x:c>
    </x:row>
    <x:row r="8">
      <x:c r="A8" s="3" t="n">
        <x:v>10000702</x:v>
      </x:c>
      <x:c r="B8" s="6" t="n">
        <x:v>45057</x:v>
      </x:c>
      <x:c r="C8" s="5" t="n">
        <x:v>40981.4</x:v>
      </x:c>
      <x:c r="D8" s="3" t="n">
        <x:v>23697</x:v>
      </x:c>
      <x:c r="E8" s="5" t="n">
        <x:v>13005.4</x:v>
      </x:c>
      <x:c r="F8" s="3" t="n">
        <x:v>4081</x:v>
      </x:c>
      <x:c r="G8" s="3" t="n">
        <x:v>198</x:v>
      </x:c>
      <x:c r="H8" s="3" t="n"/>
      <x:c r="I8" s="3" t="n">
        <x:v>147834</x:v>
      </x:c>
      <x:c r="J8" s="5" t="n">
        <x:v>0.006987567136112126</x:v>
      </x:c>
      <x:c r="K8" s="5" t="n">
        <x:v>0.06457242582897033</x:v>
      </x:c>
      <x:c r="L8" s="5" t="n">
        <x:v>0.2186574130443606</x:v>
      </x:c>
      <x:c r="M8" s="5" t="n">
        <x:v>0.4677408444606789</x:v>
      </x:c>
      <x:c r="N8" s="5" t="n">
        <x:v>0.1690680087124748</x:v>
      </x:c>
      <x:c r="O8" s="5" t="n">
        <x:v>0.07297374081740331</x:v>
      </x:c>
      <x:c r="P8" s="3" t="n">
        <x:v>33</x:v>
      </x:c>
      <x:c r="Q8" s="3" t="n">
        <x:v>5</x:v>
      </x:c>
      <x:c r="R8" s="3" t="n">
        <x:v>0</x:v>
      </x:c>
      <x:c r="S8" s="3" t="n">
        <x:v>10</x:v>
      </x:c>
      <x:c r="T8" s="3" t="n">
        <x:v>7</x:v>
      </x:c>
      <x:c r="U8" s="3" t="n">
        <x:v>8</x:v>
      </x:c>
      <x:c r="V8" s="3" t="n">
        <x:v>3</x:v>
      </x:c>
      <x:c r="W8" s="3" t="n">
        <x:v>0</x:v>
      </x:c>
      <x:c r="X8" s="3" t="n">
        <x:v>1</x:v>
      </x:c>
      <x:c r="Y8" s="3" t="n">
        <x:v>0</x:v>
      </x:c>
      <x:c r="Z8" s="3" t="n">
        <x:v>202305</x:v>
      </x:c>
      <x:c r="AA8" s="5" t="n">
        <x:v>1860.533333333333</x:v>
      </x:c>
      <x:c r="AB8" s="5" t="n">
        <x:v>1405.6</x:v>
      </x:c>
      <x:c r="AC8" s="3" t="n">
        <x:v>1342</x:v>
      </x:c>
      <x:c r="AD8" s="5" t="n">
        <x:v>1341.266666666667</x:v>
      </x:c>
      <x:c r="AE8" s="5" t="n">
        <x:v>1345.033333333333</x:v>
      </x:c>
      <x:c r="AF8" s="5" t="n">
        <x:v>1209.1</x:v>
      </x:c>
      <x:c r="AG8" s="5" t="n">
        <x:v>1157.266666666667</x:v>
      </x:c>
      <x:c r="AH8" s="5" t="n">
        <x:v>1180.3</x:v>
      </x:c>
      <x:c r="AI8" s="5" t="n">
        <x:v>1254.633333333333</x:v>
      </x:c>
      <x:c r="AJ8" s="3" t="n">
        <x:v>1148</x:v>
      </x:c>
      <x:c r="AK8" s="5" t="n">
        <x:v>1083.7</x:v>
      </x:c>
      <x:c r="AL8" s="5" t="n">
        <x:v>1545.4</x:v>
      </x:c>
      <x:c r="AM8" s="5" t="n">
        <x:v>1735.166666666667</x:v>
      </x:c>
      <x:c r="AN8" s="5" t="n">
        <x:v>1860.533333333333</x:v>
      </x:c>
      <x:c r="AO8" s="5" t="n">
        <x:v>577.9333333333333</x:v>
      </x:c>
      <x:c r="AP8" s="5" t="n">
        <x:v>955.3666666666667</x:v>
      </x:c>
      <x:c r="AQ8" s="5" t="n">
        <x:v>240.0666666666667</x:v>
      </x:c>
      <x:c r="AR8" s="5" t="n">
        <x:v>59.5</x:v>
      </x:c>
      <x:c r="AS8" s="5" t="n">
        <x:v>7.466666666666667</x:v>
      </x:c>
      <x:c r="AT8" s="5" t="n">
        <x:v>20.2</x:v>
      </x:c>
      <x:c r="AU8" s="5" t="n">
        <x:v>0.3106277769815107</x:v>
      </x:c>
      <x:c r="AV8" s="5" t="n">
        <x:v>0.5134907553389709</x:v>
      </x:c>
      <x:c r="AW8" s="5" t="n">
        <x:v>0.1290311021929196</x:v>
      </x:c>
      <x:c r="AX8" s="5" t="n">
        <x:v>0.0319800773971621</x:v>
      </x:c>
      <x:c r="AY8" s="5" t="n">
        <x:v>0.004013186183173284</x:v>
      </x:c>
      <x:c r="AZ8" s="5" t="n">
        <x:v>0.01085710190626344</x:v>
      </x:c>
      <x:c r="BA8" s="5" t="n">
        <x:v>562.1666666666666</x:v>
      </x:c>
      <x:c r="BB8" s="5" t="n">
        <x:v>497.9</x:v>
      </x:c>
      <x:c r="BC8" s="5" t="n">
        <x:v>555.4666666666667</x:v>
      </x:c>
      <x:c r="BD8" s="5" t="n">
        <x:v>222.2</x:v>
      </x:c>
      <x:c r="BE8" s="5" t="n">
        <x:v>0.3</x:v>
      </x:c>
      <x:c r="BF8" s="5" t="n">
        <x:v>22.5</x:v>
      </x:c>
      <x:c r="BG8" s="5" t="n">
        <x:v>0.3021535043715063</x:v>
      </x:c>
      <x:c r="BH8" s="5" t="n">
        <x:v>0.2676114375806221</x:v>
      </x:c>
      <x:c r="BI8" s="5" t="n">
        <x:v>0.2985523864124982</x:v>
      </x:c>
      <x:c r="BJ8" s="5" t="n">
        <x:v>0.1194281209688978</x:v>
      </x:c>
      <x:c r="BK8" s="5" t="n">
        <x:v>0.0001612440877167837</x:v>
      </x:c>
      <x:c r="BL8" s="5" t="n">
        <x:v>0.01209330657875878</x:v>
      </x:c>
    </x:row>
    <x:row r="9">
      <x:c r="A9" s="3" t="n">
        <x:v>10000736</x:v>
      </x:c>
      <x:c r="B9" s="6" t="n">
        <x:v>45102</x:v>
      </x:c>
      <x:c r="C9" s="5" t="n">
        <x:v>80698.5</x:v>
      </x:c>
      <x:c r="D9" s="5" t="n">
        <x:v>43003.4</x:v>
      </x:c>
      <x:c r="E9" s="5" t="n">
        <x:v>16012.3</x:v>
      </x:c>
      <x:c r="F9" s="3" t="n">
        <x:v>17259</x:v>
      </x:c>
      <x:c r="G9" s="5" t="n">
        <x:v>4423.8</x:v>
      </x:c>
      <x:c r="H9" s="3" t="n"/>
      <x:c r="I9" s="3" t="n">
        <x:v>217469</x:v>
      </x:c>
      <x:c r="J9" s="5" t="n">
        <x:v>0.005587003205054513</x:v>
      </x:c>
      <x:c r="K9" s="5" t="n">
        <x:v>0.04505009909458359</x:v>
      </x:c>
      <x:c r="L9" s="5" t="n">
        <x:v>0.1565648437248527</x:v>
      </x:c>
      <x:c r="M9" s="5" t="n">
        <x:v>0.4525380628963209</x:v>
      </x:c>
      <x:c r="N9" s="5" t="n">
        <x:v>0.2459017147271565</x:v>
      </x:c>
      <x:c r="O9" s="5" t="n">
        <x:v>0.09435827635203178</x:v>
      </x:c>
      <x:c r="P9" s="3" t="n">
        <x:v>58</x:v>
      </x:c>
      <x:c r="Q9" s="3" t="n">
        <x:v>7</x:v>
      </x:c>
      <x:c r="R9" s="3" t="n">
        <x:v>0</x:v>
      </x:c>
      <x:c r="S9" s="3" t="n">
        <x:v>37</x:v>
      </x:c>
      <x:c r="T9" s="3" t="n">
        <x:v>2</x:v>
      </x:c>
      <x:c r="U9" s="3" t="n">
        <x:v>8</x:v>
      </x:c>
      <x:c r="V9" s="3" t="n">
        <x:v>4</x:v>
      </x:c>
      <x:c r="W9" s="3" t="n">
        <x:v>1</x:v>
      </x:c>
      <x:c r="X9" s="3" t="n">
        <x:v>1</x:v>
      </x:c>
      <x:c r="Y9" s="3" t="n">
        <x:v>0</x:v>
      </x:c>
      <x:c r="Z9" s="3" t="n">
        <x:v>202306</x:v>
      </x:c>
      <x:c r="AA9" s="5" t="n">
        <x:v>2766.2</x:v>
      </x:c>
      <x:c r="AB9" s="5" t="n">
        <x:v>1430.3</x:v>
      </x:c>
      <x:c r="AC9" s="5" t="n">
        <x:v>987.4666666666667</x:v>
      </x:c>
      <x:c r="AD9" s="5" t="n">
        <x:v>1089.333333333333</x:v>
      </x:c>
      <x:c r="AE9" s="5" t="n">
        <x:v>845.8</x:v>
      </x:c>
      <x:c r="AF9" s="5" t="n">
        <x:v>908.8333333333334</x:v>
      </x:c>
      <x:c r="AG9" s="5" t="n">
        <x:v>1000.766666666667</x:v>
      </x:c>
      <x:c r="AH9" s="5" t="n">
        <x:v>957.9333333333333</x:v>
      </x:c>
      <x:c r="AI9" s="5" t="n">
        <x:v>875.7333333333333</x:v>
      </x:c>
      <x:c r="AJ9" s="5" t="n">
        <x:v>1105.566666666667</x:v>
      </x:c>
      <x:c r="AK9" s="5" t="n">
        <x:v>2246.033333333333</x:v>
      </x:c>
      <x:c r="AL9" s="5" t="n">
        <x:v>2515.333333333333</x:v>
      </x:c>
      <x:c r="AM9" s="5" t="n">
        <x:v>2392.1</x:v>
      </x:c>
      <x:c r="AN9" s="5" t="n">
        <x:v>2766.2</x:v>
      </x:c>
      <x:c r="AO9" s="5" t="n">
        <x:v>1120.7</x:v>
      </x:c>
      <x:c r="AP9" s="5" t="n">
        <x:v>1298.7</x:v>
      </x:c>
      <x:c r="AQ9" s="5" t="n">
        <x:v>260.5666666666667</x:v>
      </x:c>
      <x:c r="AR9" s="5" t="n">
        <x:v>63.76666666666667</x:v>
      </x:c>
      <x:c r="AS9" s="5" t="n">
        <x:v>10.5</x:v>
      </x:c>
      <x:c r="AT9" s="5" t="n">
        <x:v>11.96666666666667</x:v>
      </x:c>
      <x:c r="AU9" s="5" t="n">
        <x:v>0.4051406261297087</x:v>
      </x:c>
      <x:c r="AV9" s="5" t="n">
        <x:v>0.4694888294411106</x:v>
      </x:c>
      <x:c r="AW9" s="5" t="n">
        <x:v>0.09419661147663462</x:v>
      </x:c>
      <x:c r="AX9" s="5" t="n">
        <x:v>0.02305208107391608</x:v>
      </x:c>
      <x:c r="AY9" s="5" t="n">
        <x:v>0.003795820981852361</x:v>
      </x:c>
      <x:c r="AZ9" s="5" t="n">
        <x:v>0.00432603089677777</x:v>
      </x:c>
      <x:c r="BA9" s="5" t="n">
        <x:v>1033.433333333333</x:v>
      </x:c>
      <x:c r="BB9" s="5" t="n">
        <x:v>535.3</x:v>
      </x:c>
      <x:c r="BC9" s="5" t="n">
        <x:v>608.3</x:v>
      </x:c>
      <x:c r="BD9" s="5" t="n">
        <x:v>495.1666666666667</x:v>
      </x:c>
      <x:c r="BE9" s="5" t="n">
        <x:v>57.06666666666667</x:v>
      </x:c>
      <x:c r="BF9" s="5" t="n">
        <x:v>36.93333333333333</x:v>
      </x:c>
      <x:c r="BG9" s="5" t="n">
        <x:v>0.3735931361916469</x:v>
      </x:c>
      <x:c r="BH9" s="5" t="n">
        <x:v>0.1935145687224351</x:v>
      </x:c>
      <x:c r="BI9" s="5" t="n">
        <x:v>0.2199045622153134</x:v>
      </x:c>
      <x:c r="BJ9" s="5" t="n">
        <x:v>0.1790060974140217</x:v>
      </x:c>
      <x:c r="BK9" s="5" t="n">
        <x:v>0.0206299857807341</x:v>
      </x:c>
      <x:c r="BL9" s="5" t="n">
        <x:v>0.01335164967584894</x:v>
      </x:c>
    </x:row>
    <x:row r="10">
      <x:c r="A10" s="3" t="n">
        <x:v>10000737</x:v>
      </x:c>
      <x:c r="B10" s="6" t="n">
        <x:v>45128</x:v>
      </x:c>
      <x:c r="C10" s="5" t="n">
        <x:v>37437.1</x:v>
      </x:c>
      <x:c r="D10" s="5" t="n">
        <x:v>21222.7</x:v>
      </x:c>
      <x:c r="E10" s="3" t="n">
        <x:v>10065</x:v>
      </x:c>
      <x:c r="F10" s="5" t="n">
        <x:v>3345.4</x:v>
      </x:c>
      <x:c r="G10" s="3" t="n">
        <x:v>2804</x:v>
      </x:c>
      <x:c r="H10" s="3" t="n"/>
      <x:c r="I10" s="3" t="n">
        <x:v>167349</x:v>
      </x:c>
      <x:c r="J10" s="5" t="n">
        <x:v>0.01588297509994084</x:v>
      </x:c>
      <x:c r="K10" s="5" t="n">
        <x:v>0.1088025623099033</x:v>
      </x:c>
      <x:c r="L10" s="5" t="n">
        <x:v>0.2574739018458431</x:v>
      </x:c>
      <x:c r="M10" s="5" t="n">
        <x:v>0.4211737148115615</x:v>
      </x:c>
      <x:c r="N10" s="5" t="n">
        <x:v>0.1281453728435784</x:v>
      </x:c>
      <x:c r="O10" s="5" t="n">
        <x:v>0.06852147308917293</x:v>
      </x:c>
      <x:c r="P10" s="3" t="n">
        <x:v>23</x:v>
      </x:c>
      <x:c r="Q10" s="3" t="n">
        <x:v>3</x:v>
      </x:c>
      <x:c r="R10" s="3" t="n">
        <x:v>0</x:v>
      </x:c>
      <x:c r="S10" s="3" t="n">
        <x:v>11</x:v>
      </x:c>
      <x:c r="T10" s="3" t="n">
        <x:v>3</x:v>
      </x:c>
      <x:c r="U10" s="3" t="n">
        <x:v>2</x:v>
      </x:c>
      <x:c r="V10" s="3" t="n">
        <x:v>4</x:v>
      </x:c>
      <x:c r="W10" s="3" t="n">
        <x:v>0</x:v>
      </x:c>
      <x:c r="X10" s="3" t="n">
        <x:v>2</x:v>
      </x:c>
      <x:c r="Y10" s="3" t="n">
        <x:v>0</x:v>
      </x:c>
      <x:c r="Z10" s="3" t="n">
        <x:v>202307</x:v>
      </x:c>
      <x:c r="AA10" s="5" t="n">
        <x:v>2095.433333333333</x:v>
      </x:c>
      <x:c r="AB10" s="5" t="n">
        <x:v>1995.933333333333</x:v>
      </x:c>
      <x:c r="AC10" s="5" t="n">
        <x:v>1201.5</x:v>
      </x:c>
      <x:c r="AD10" s="5" t="n">
        <x:v>985.9</x:v>
      </x:c>
      <x:c r="AE10" s="5" t="n">
        <x:v>989.4</x:v>
      </x:c>
      <x:c r="AF10" s="5" t="n">
        <x:v>1157.166666666667</x:v>
      </x:c>
      <x:c r="AG10" s="5" t="n">
        <x:v>1144.033333333333</x:v>
      </x:c>
      <x:c r="AH10" s="5" t="n">
        <x:v>980.2</x:v>
      </x:c>
      <x:c r="AI10" s="5" t="n">
        <x:v>1196.833333333333</x:v>
      </x:c>
      <x:c r="AJ10" s="5" t="n">
        <x:v>1352.666666666667</x:v>
      </x:c>
      <x:c r="AK10" s="5" t="n">
        <x:v>1429.433333333333</x:v>
      </x:c>
      <x:c r="AL10" s="5" t="n">
        <x:v>1497.866666666667</x:v>
      </x:c>
      <x:c r="AM10" s="5" t="n">
        <x:v>1874.066666666667</x:v>
      </x:c>
      <x:c r="AN10" s="5" t="n">
        <x:v>2095.433333333333</x:v>
      </x:c>
      <x:c r="AO10" s="5" t="n">
        <x:v>550.6666666666666</x:v>
      </x:c>
      <x:c r="AP10" s="5" t="n">
        <x:v>1062.5</x:v>
      </x:c>
      <x:c r="AQ10" s="5" t="n">
        <x:v>336.9333333333333</x:v>
      </x:c>
      <x:c r="AR10" s="5" t="n">
        <x:v>99.56666666666666</x:v>
      </x:c>
      <x:c r="AS10" s="5" t="n">
        <x:v>17.13333333333333</x:v>
      </x:c>
      <x:c r="AT10" s="5" t="n">
        <x:v>28.63333333333333</x:v>
      </x:c>
      <x:c r="AU10" s="5" t="n">
        <x:v>0.2627936942239473</x:v>
      </x:c>
      <x:c r="AV10" s="5" t="n">
        <x:v>0.5070550244181792</x:v>
      </x:c>
      <x:c r="AW10" s="5" t="n">
        <x:v>0.1607941078217711</x:v>
      </x:c>
      <x:c r="AX10" s="5" t="n">
        <x:v>0.04751602691567376</x:v>
      </x:c>
      <x:c r="AY10" s="5" t="n">
        <x:v>0.008176510825127659</x:v>
      </x:c>
      <x:c r="AZ10" s="5" t="n">
        <x:v>0.01366463579530089</x:v>
      </x:c>
      <x:c r="BA10" s="5" t="n">
        <x:v>847.1</x:v>
      </x:c>
      <x:c r="BB10" s="5" t="n">
        <x:v>478.1666666666667</x:v>
      </x:c>
      <x:c r="BC10" s="5" t="n">
        <x:v>489.9</x:v>
      </x:c>
      <x:c r="BD10" s="5" t="n">
        <x:v>250.2666666666667</x:v>
      </x:c>
      <x:c r="BE10" s="5" t="n">
        <x:v>9.966666666666667</x:v>
      </x:c>
      <x:c r="BF10" s="5" t="n">
        <x:v>20.03333333333333</x:v>
      </x:c>
      <x:c r="BG10" s="5" t="n">
        <x:v>0.4042600575855432</x:v>
      </x:c>
      <x:c r="BH10" s="5" t="n">
        <x:v>0.2281946454989421</x:v>
      </x:c>
      <x:c r="BI10" s="5" t="n">
        <x:v>0.2337941237293797</x:v>
      </x:c>
      <x:c r="BJ10" s="5" t="n">
        <x:v>0.1194343254378569</x:v>
      </x:c>
      <x:c r="BK10" s="5" t="n">
        <x:v>0.004756374974150136</x:v>
      </x:c>
      <x:c r="BL10" s="5" t="n">
        <x:v>0.009560472774127866</x:v>
      </x:c>
    </x:row>
    <x:row r="11">
      <x:c r="A11" s="3" t="n">
        <x:v>10000738</x:v>
      </x:c>
      <x:c r="B11" s="6" t="n">
        <x:v>45095</x:v>
      </x:c>
      <x:c r="C11" s="5" t="n">
        <x:v>36324.39999999999</x:v>
      </x:c>
      <x:c r="D11" s="5" t="n">
        <x:v>9846.19999999999</x:v>
      </x:c>
      <x:c r="E11" s="5" t="n">
        <x:v>19127.3</x:v>
      </x:c>
      <x:c r="F11" s="5" t="n">
        <x:v>7350.9</x:v>
      </x:c>
      <x:c r="G11" s="3" t="n"/>
      <x:c r="H11" s="3" t="n"/>
      <x:c r="I11" s="3" t="n">
        <x:v>156641</x:v>
      </x:c>
      <x:c r="J11" s="5" t="n">
        <x:v>0.01236585568273951</x:v>
      </x:c>
      <x:c r="K11" s="5" t="n">
        <x:v>0.09502620642105196</x:v>
      </x:c>
      <x:c r="L11" s="5" t="n">
        <x:v>0.2349448739474339</x:v>
      </x:c>
      <x:c r="M11" s="5" t="n">
        <x:v>0.4073390746994721</x:v>
      </x:c>
      <x:c r="N11" s="5" t="n">
        <x:v>0.1710918597302111</x:v>
      </x:c>
      <x:c r="O11" s="5" t="n">
        <x:v>0.07923212951909142</x:v>
      </x:c>
      <x:c r="P11" s="3" t="n">
        <x:v>32</x:v>
      </x:c>
      <x:c r="Q11" s="3" t="n">
        <x:v>4</x:v>
      </x:c>
      <x:c r="R11" s="3" t="n">
        <x:v>0</x:v>
      </x:c>
      <x:c r="S11" s="3" t="n">
        <x:v>17</x:v>
      </x:c>
      <x:c r="T11" s="3" t="n">
        <x:v>4</x:v>
      </x:c>
      <x:c r="U11" s="3" t="n">
        <x:v>3</x:v>
      </x:c>
      <x:c r="V11" s="3" t="n">
        <x:v>4</x:v>
      </x:c>
      <x:c r="W11" s="3" t="n">
        <x:v>2</x:v>
      </x:c>
      <x:c r="X11" s="3" t="n">
        <x:v>2</x:v>
      </x:c>
      <x:c r="Y11" s="3" t="n">
        <x:v>0</x:v>
      </x:c>
      <x:c r="Z11" s="3" t="n">
        <x:v>202306</x:v>
      </x:c>
      <x:c r="AA11" s="5" t="n">
        <x:v>1298.633333333333</x:v>
      </x:c>
      <x:c r="AB11" s="5" t="n">
        <x:v>2028.5</x:v>
      </x:c>
      <x:c r="AC11" s="5" t="n">
        <x:v>1235.566666666667</x:v>
      </x:c>
      <x:c r="AD11" s="5" t="n">
        <x:v>1175.166666666667</x:v>
      </x:c>
      <x:c r="AE11" s="5" t="n">
        <x:v>1022.433333333333</x:v>
      </x:c>
      <x:c r="AF11" s="5" t="n">
        <x:v>1086.533333333333</x:v>
      </x:c>
      <x:c r="AG11" s="5" t="n">
        <x:v>994.2333333333333</x:v>
      </x:c>
      <x:c r="AH11" s="5" t="n">
        <x:v>1000.066666666667</x:v>
      </x:c>
      <x:c r="AI11" s="5" t="n">
        <x:v>899.5666666666667</x:v>
      </x:c>
      <x:c r="AJ11" s="5" t="n">
        <x:v>1010.633333333333</x:v>
      </x:c>
      <x:c r="AK11" s="5" t="n">
        <x:v>1216.2</x:v>
      </x:c>
      <x:c r="AL11" s="5" t="n">
        <x:v>1194.8</x:v>
      </x:c>
      <x:c r="AM11" s="5" t="n">
        <x:v>1171.366666666667</x:v>
      </x:c>
      <x:c r="AN11" s="5" t="n">
        <x:v>1298.633333333333</x:v>
      </x:c>
      <x:c r="AO11" s="5" t="n">
        <x:v>431.9</x:v>
      </x:c>
      <x:c r="AP11" s="5" t="n">
        <x:v>629.3</x:v>
      </x:c>
      <x:c r="AQ11" s="5" t="n">
        <x:v>179.6333333333333</x:v>
      </x:c>
      <x:c r="AR11" s="5" t="n">
        <x:v>48.13333333333333</x:v>
      </x:c>
      <x:c r="AS11" s="5" t="n">
        <x:v>4.766666666666667</x:v>
      </x:c>
      <x:c r="AT11" s="5" t="n">
        <x:v>4.9</x:v>
      </x:c>
      <x:c r="AU11" s="5" t="n">
        <x:v>0.3325804050411971</x:v>
      </x:c>
      <x:c r="AV11" s="5" t="n">
        <x:v>0.4845863600195076</x:v>
      </x:c>
      <x:c r="AW11" s="5" t="n">
        <x:v>0.1383249056700634</x:v>
      </x:c>
      <x:c r="AX11" s="5" t="n">
        <x:v>0.03706460638106727</x:v>
      </x:c>
      <x:c r="AY11" s="5" t="n">
        <x:v>0.003670525424163864</x:v>
      </x:c>
      <x:c r="AZ11" s="5" t="n">
        <x:v>0.003773197464000616</x:v>
      </x:c>
      <x:c r="BA11" s="5" t="n">
        <x:v>282.0666666666667</x:v>
      </x:c>
      <x:c r="BB11" s="5" t="n">
        <x:v>324.2</x:v>
      </x:c>
      <x:c r="BC11" s="5" t="n">
        <x:v>436.5</x:v>
      </x:c>
      <x:c r="BD11" s="5" t="n">
        <x:v>236.7</x:v>
      </x:c>
      <x:c r="BE11" s="5" t="n">
        <x:v>1.433333333333333</x:v>
      </x:c>
      <x:c r="BF11" s="5" t="n">
        <x:v>17.73333333333333</x:v>
      </x:c>
      <x:c r="BG11" s="5" t="n">
        <x:v>0.2172027002746477</x:v>
      </x:c>
      <x:c r="BH11" s="5" t="n">
        <x:v>0.2496470648630611</x:v>
      </x:c>
      <x:c r="BI11" s="5" t="n">
        <x:v>0.3361225904155651</x:v>
      </x:c>
      <x:c r="BJ11" s="5" t="n">
        <x:v>0.182268538720193</x:v>
      </x:c>
      <x:c r="BK11" s="5" t="n">
        <x:v>0.001103724428245078</x:v>
      </x:c>
      <x:c r="BL11" s="5" t="n">
        <x:v>0.01365538129828794</x:v>
      </x:c>
    </x:row>
    <x:row r="12">
      <x:c r="A12" s="3" t="n">
        <x:v>10000739</x:v>
      </x:c>
      <x:c r="B12" s="6" t="n">
        <x:v>45107</x:v>
      </x:c>
      <x:c r="C12" s="5" t="n">
        <x:v>38177.9999999999</x:v>
      </x:c>
      <x:c r="D12" s="5" t="n">
        <x:v>22284.6999999999</x:v>
      </x:c>
      <x:c r="E12" s="5" t="n">
        <x:v>15564.5</x:v>
      </x:c>
      <x:c r="F12" s="5" t="n">
        <x:v>328.8</x:v>
      </x:c>
      <x:c r="G12" s="3" t="n"/>
      <x:c r="H12" s="3" t="n"/>
      <x:c r="I12" s="3" t="n">
        <x:v>164205</x:v>
      </x:c>
      <x:c r="J12" s="5" t="n">
        <x:v>0.007033890563624737</x:v>
      </x:c>
      <x:c r="K12" s="5" t="n">
        <x:v>0.06008343229499711</x:v>
      </x:c>
      <x:c r="L12" s="5" t="n">
        <x:v>0.2048841387290277</x:v>
      </x:c>
      <x:c r="M12" s="5" t="n">
        <x:v>0.4733595201120551</x:v>
      </x:c>
      <x:c r="N12" s="5" t="n">
        <x:v>0.1753417983618038</x:v>
      </x:c>
      <x:c r="O12" s="5" t="n">
        <x:v>0.07929721993849152</x:v>
      </x:c>
      <x:c r="P12" s="3" t="n">
        <x:v>41</x:v>
      </x:c>
      <x:c r="Q12" s="3" t="n">
        <x:v>8</x:v>
      </x:c>
      <x:c r="R12" s="3" t="n">
        <x:v>0</x:v>
      </x:c>
      <x:c r="S12" s="3" t="n">
        <x:v>18</x:v>
      </x:c>
      <x:c r="T12" s="3" t="n">
        <x:v>8</x:v>
      </x:c>
      <x:c r="U12" s="3" t="n">
        <x:v>5</x:v>
      </x:c>
      <x:c r="V12" s="3" t="n">
        <x:v>2</x:v>
      </x:c>
      <x:c r="W12" s="3" t="n">
        <x:v>2</x:v>
      </x:c>
      <x:c r="X12" s="3" t="n">
        <x:v>1</x:v>
      </x:c>
      <x:c r="Y12" s="3" t="n">
        <x:v>0</x:v>
      </x:c>
      <x:c r="Z12" s="3" t="n">
        <x:v>202306</x:v>
      </x:c>
      <x:c r="AA12" s="5" t="n">
        <x:v>2020.4</x:v>
      </x:c>
      <x:c r="AB12" s="5" t="n">
        <x:v>1748.833333333333</x:v>
      </x:c>
      <x:c r="AC12" s="5" t="n">
        <x:v>1425.366666666667</x:v>
      </x:c>
      <x:c r="AD12" s="5" t="n">
        <x:v>1322.266666666667</x:v>
      </x:c>
      <x:c r="AE12" s="5" t="n">
        <x:v>1203.066666666667</x:v>
      </x:c>
      <x:c r="AF12" s="5" t="n">
        <x:v>1404.133333333333</x:v>
      </x:c>
      <x:c r="AG12" s="5" t="n">
        <x:v>1565.8</x:v>
      </x:c>
      <x:c r="AH12" s="5" t="n">
        <x:v>1342.633333333333</x:v>
      </x:c>
      <x:c r="AI12" s="5" t="n">
        <x:v>1188.333333333333</x:v>
      </x:c>
      <x:c r="AJ12" s="5" t="n">
        <x:v>1431.433333333333</x:v>
      </x:c>
      <x:c r="AK12" s="5" t="n">
        <x:v>1556.533333333333</x:v>
      </x:c>
      <x:c r="AL12" s="5" t="n">
        <x:v>1619.7</x:v>
      </x:c>
      <x:c r="AM12" s="5" t="n">
        <x:v>1750.466666666667</x:v>
      </x:c>
      <x:c r="AN12" s="5" t="n">
        <x:v>2020.4</x:v>
      </x:c>
      <x:c r="AO12" s="5" t="n">
        <x:v>619.1</x:v>
      </x:c>
      <x:c r="AP12" s="5" t="n">
        <x:v>1030.733333333333</x:v>
      </x:c>
      <x:c r="AQ12" s="3" t="n">
        <x:v>277</x:v>
      </x:c>
      <x:c r="AR12" s="5" t="n">
        <x:v>71.03333333333333</x:v>
      </x:c>
      <x:c r="AS12" s="5" t="n">
        <x:v>11.1</x:v>
      </x:c>
      <x:c r="AT12" s="5" t="n">
        <x:v>11.43333333333333</x:v>
      </x:c>
      <x:c r="AU12" s="5" t="n">
        <x:v>0.3064244704019006</x:v>
      </x:c>
      <x:c r="AV12" s="5" t="n">
        <x:v>0.5101630040256054</x:v>
      </x:c>
      <x:c r="AW12" s="5" t="n">
        <x:v>0.1371015640467234</x:v>
      </x:c>
      <x:c r="AX12" s="5" t="n">
        <x:v>0.03515805451065795</x:v>
      </x:c>
      <x:c r="AY12" s="5" t="n">
        <x:v>0.005493961591764007</x:v>
      </x:c>
      <x:c r="AZ12" s="5" t="n">
        <x:v>0.005658945423348512</x:v>
      </x:c>
      <x:c r="BA12" s="5" t="n">
        <x:v>342.4333333333333</x:v>
      </x:c>
      <x:c r="BB12" s="5" t="n">
        <x:v>868.7666666666667</x:v>
      </x:c>
      <x:c r="BC12" s="5" t="n">
        <x:v>709.2</x:v>
      </x:c>
      <x:c r="BD12" s="5" t="n">
        <x:v>75.59999999999999</x:v>
      </x:c>
      <x:c r="BE12" s="3" t="n">
        <x:v>0</x:v>
      </x:c>
      <x:c r="BF12" s="5" t="n">
        <x:v>24.4</x:v>
      </x:c>
      <x:c r="BG12" s="5" t="n">
        <x:v>0.1694878901867617</x:v>
      </x:c>
      <x:c r="BH12" s="5" t="n">
        <x:v>0.4299973602586946</x:v>
      </x:c>
      <x:c r="BI12" s="5" t="n">
        <x:v>0.3510196000791923</x:v>
      </x:c>
      <x:c r="BJ12" s="5" t="n">
        <x:v>0.03741833300336567</x:v>
      </x:c>
      <x:c r="BK12" s="3" t="n">
        <x:v>0</x:v>
      </x:c>
      <x:c r="BL12" s="5" t="n">
        <x:v>0.01207681647198574</x:v>
      </x:c>
    </x:row>
    <x:row r="13">
      <x:c r="A13" s="3" t="n">
        <x:v>10000749</x:v>
      </x:c>
      <x:c r="B13" s="6" t="n">
        <x:v>45107</x:v>
      </x:c>
      <x:c r="C13" s="5" t="n">
        <x:v>31304.2</x:v>
      </x:c>
      <x:c r="D13" s="5" t="n">
        <x:v>21376.2</x:v>
      </x:c>
      <x:c r="E13" s="3" t="n">
        <x:v>9928</x:v>
      </x:c>
      <x:c r="F13" s="3" t="n"/>
      <x:c r="G13" s="3" t="n"/>
      <x:c r="H13" s="3" t="n"/>
      <x:c r="I13" s="3" t="n">
        <x:v>86337</x:v>
      </x:c>
      <x:c r="J13" s="5" t="n">
        <x:v>0.003080950229913015</x:v>
      </x:c>
      <x:c r="K13" s="5" t="n">
        <x:v>0.03492129677890128</x:v>
      </x:c>
      <x:c r="L13" s="5" t="n">
        <x:v>0.1463103883618842</x:v>
      </x:c>
      <x:c r="M13" s="5" t="n">
        <x:v>0.4779410913050025</x:v>
      </x:c>
      <x:c r="N13" s="5" t="n">
        <x:v>0.260027566396794</x:v>
      </x:c>
      <x:c r="O13" s="5" t="n">
        <x:v>0.07771870692750502</x:v>
      </x:c>
      <x:c r="P13" s="3" t="n">
        <x:v>19</x:v>
      </x:c>
      <x:c r="Q13" s="3" t="n">
        <x:v>1</x:v>
      </x:c>
      <x:c r="R13" s="3" t="n">
        <x:v>0</x:v>
      </x:c>
      <x:c r="S13" s="3" t="n">
        <x:v>11</x:v>
      </x:c>
      <x:c r="T13" s="3" t="n">
        <x:v>3</x:v>
      </x:c>
      <x:c r="U13" s="3" t="n">
        <x:v>4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202306</x:v>
      </x:c>
      <x:c r="AA13" s="5" t="n">
        <x:v>1338.333333333333</x:v>
      </x:c>
      <x:c r="AB13" s="5" t="n">
        <x:v>1285.3</x:v>
      </x:c>
      <x:c r="AC13" s="5" t="n">
        <x:v>1036.333333333333</x:v>
      </x:c>
      <x:c r="AD13" s="5" t="n">
        <x:v>1051.633333333333</x:v>
      </x:c>
      <x:c r="AE13" s="5" t="n">
        <x:v>910.9333333333333</x:v>
      </x:c>
      <x:c r="AF13" s="5" t="n">
        <x:v>987.6</x:v>
      </x:c>
      <x:c r="AG13" s="5" t="n">
        <x:v>1065.8</x:v>
      </x:c>
      <x:c r="AH13" s="5" t="n">
        <x:v>1011.033333333333</x:v>
      </x:c>
      <x:c r="AI13" s="5" t="n">
        <x:v>901.7666666666667</x:v>
      </x:c>
      <x:c r="AJ13" s="5" t="n">
        <x:v>1098.866666666667</x:v>
      </x:c>
      <x:c r="AK13" s="5" t="n">
        <x:v>1162.8</x:v>
      </x:c>
      <x:c r="AL13" s="5" t="n">
        <x:v>1126.033333333333</x:v>
      </x:c>
      <x:c r="AM13" s="5" t="n">
        <x:v>1188.7</x:v>
      </x:c>
      <x:c r="AN13" s="5" t="n">
        <x:v>1338.333333333333</x:v>
      </x:c>
      <x:c r="AO13" s="5" t="n">
        <x:v>555.4</x:v>
      </x:c>
      <x:c r="AP13" s="5" t="n">
        <x:v>630.4333333333333</x:v>
      </x:c>
      <x:c r="AQ13" s="5" t="n">
        <x:v>116.7333333333333</x:v>
      </x:c>
      <x:c r="AR13" s="5" t="n">
        <x:v>26.16666666666667</x:v>
      </x:c>
      <x:c r="AS13" s="5" t="n">
        <x:v>4.4</x:v>
      </x:c>
      <x:c r="AT13" s="5" t="n">
        <x:v>5.2</x:v>
      </x:c>
      <x:c r="AU13" s="5" t="n">
        <x:v>0.4149937733499378</x:v>
      </x:c>
      <x:c r="AV13" s="5" t="n">
        <x:v>0.4710585305105853</x:v>
      </x:c>
      <x:c r="AW13" s="5" t="n">
        <x:v>0.08722291407222915</x:v>
      </x:c>
      <x:c r="AX13" s="5" t="n">
        <x:v>0.01955168119551681</x:v>
      </x:c>
      <x:c r="AY13" s="5" t="n">
        <x:v>0.003287671232876713</x:v>
      </x:c>
      <x:c r="AZ13" s="5" t="n">
        <x:v>0.003885429638854297</x:v>
      </x:c>
      <x:c r="BA13" s="3" t="n">
        <x:v>244</x:v>
      </x:c>
      <x:c r="BB13" s="5" t="n">
        <x:v>308.7333333333333</x:v>
      </x:c>
      <x:c r="BC13" s="3" t="n">
        <x:v>471</x:v>
      </x:c>
      <x:c r="BD13" s="5" t="n">
        <x:v>294.2333333333333</x:v>
      </x:c>
      <x:c r="BE13" s="5" t="n">
        <x:v>0.4</x:v>
      </x:c>
      <x:c r="BF13" s="5" t="n">
        <x:v>19.96666666666667</x:v>
      </x:c>
      <x:c r="BG13" s="5" t="n">
        <x:v>0.1823163138231632</x:v>
      </x:c>
      <x:c r="BH13" s="5" t="n">
        <x:v>0.2306849315068494</x:v>
      </x:c>
      <x:c r="BI13" s="5" t="n">
        <x:v>0.3519302615193026</x:v>
      </x:c>
      <x:c r="BJ13" s="5" t="n">
        <x:v>0.2198505603985056</x:v>
      </x:c>
      <x:c r="BK13" s="5" t="n">
        <x:v>0.0002988792029887921</x:v>
      </x:c>
      <x:c r="BL13" s="5" t="n">
        <x:v>0.01491905354919053</x:v>
      </x:c>
    </x:row>
    <x:row r="14">
      <x:c r="A14" s="3" t="n">
        <x:v>10000757</x:v>
      </x:c>
      <x:c r="B14" s="6" t="n">
        <x:v>45113</x:v>
      </x:c>
      <x:c r="C14" s="3" t="n">
        <x:v>48627</x:v>
      </x:c>
      <x:c r="D14" s="5" t="n">
        <x:v>25410.5</x:v>
      </x:c>
      <x:c r="E14" s="5" t="n">
        <x:v>11543.5</x:v>
      </x:c>
      <x:c r="F14" s="3" t="n">
        <x:v>9851</x:v>
      </x:c>
      <x:c r="G14" s="3" t="n">
        <x:v>1822</x:v>
      </x:c>
      <x:c r="H14" s="3" t="n"/>
      <x:c r="I14" s="3" t="n">
        <x:v>126363</x:v>
      </x:c>
      <x:c r="J14" s="5" t="n">
        <x:v>0.005080601125329408</x:v>
      </x:c>
      <x:c r="K14" s="5" t="n">
        <x:v>0.05938447172036118</x:v>
      </x:c>
      <x:c r="L14" s="5" t="n">
        <x:v>0.1980168245451596</x:v>
      </x:c>
      <x:c r="M14" s="5" t="n">
        <x:v>0.4402317133971178</x:v>
      </x:c>
      <x:c r="N14" s="5" t="n">
        <x:v>0.2055665028528921</x:v>
      </x:c>
      <x:c r="O14" s="5" t="n">
        <x:v>0.09171988635913994</x:v>
      </x:c>
      <x:c r="P14" s="3" t="n">
        <x:v>28</x:v>
      </x:c>
      <x:c r="Q14" s="3" t="n">
        <x:v>2</x:v>
      </x:c>
      <x:c r="R14" s="3" t="n">
        <x:v>2</x:v>
      </x:c>
      <x:c r="S14" s="3" t="n">
        <x:v>11</x:v>
      </x:c>
      <x:c r="T14" s="3" t="n">
        <x:v>6</x:v>
      </x:c>
      <x:c r="U14" s="3" t="n">
        <x:v>2</x:v>
      </x:c>
      <x:c r="V14" s="3" t="n">
        <x:v>5</x:v>
      </x:c>
      <x:c r="W14" s="3" t="n">
        <x:v>0</x:v>
      </x:c>
      <x:c r="X14" s="3" t="n">
        <x:v>0</x:v>
      </x:c>
      <x:c r="Y14" s="3" t="n">
        <x:v>0</x:v>
      </x:c>
      <x:c r="Z14" s="3" t="n">
        <x:v>202307</x:v>
      </x:c>
      <x:c r="AA14" s="5" t="n">
        <x:v>1490.366666666667</x:v>
      </x:c>
      <x:c r="AB14" s="5" t="n">
        <x:v>1702.233333333333</x:v>
      </x:c>
      <x:c r="AC14" s="3" t="n">
        <x:v>1121</x:v>
      </x:c>
      <x:c r="AD14" s="5" t="n">
        <x:v>1017.066666666667</x:v>
      </x:c>
      <x:c r="AE14" s="5" t="n">
        <x:v>892.9333333333333</x:v>
      </x:c>
      <x:c r="AF14" s="5" t="n">
        <x:v>876.1333333333333</x:v>
      </x:c>
      <x:c r="AG14" s="5" t="n">
        <x:v>899.9333333333333</x:v>
      </x:c>
      <x:c r="AH14" s="5" t="n">
        <x:v>868.2666666666667</x:v>
      </x:c>
      <x:c r="AI14" s="5" t="n">
        <x:v>827.9</x:v>
      </x:c>
      <x:c r="AJ14" s="5" t="n">
        <x:v>989.0666666666667</x:v>
      </x:c>
      <x:c r="AK14" s="5" t="n">
        <x:v>1212.033333333333</x:v>
      </x:c>
      <x:c r="AL14" s="5" t="n">
        <x:v>1148.033333333333</x:v>
      </x:c>
      <x:c r="AM14" s="5" t="n">
        <x:v>1211.833333333333</x:v>
      </x:c>
      <x:c r="AN14" s="5" t="n">
        <x:v>1490.366666666667</x:v>
      </x:c>
      <x:c r="AO14" s="5" t="n">
        <x:v>548.4333333333333</x:v>
      </x:c>
      <x:c r="AP14" s="5" t="n">
        <x:v>729.2</x:v>
      </x:c>
      <x:c r="AQ14" s="5" t="n">
        <x:v>159.4333333333333</x:v>
      </x:c>
      <x:c r="AR14" s="5" t="n">
        <x:v>42.53333333333333</x:v>
      </x:c>
      <x:c r="AS14" s="5" t="n">
        <x:v>3.1</x:v>
      </x:c>
      <x:c r="AT14" s="5" t="n">
        <x:v>7.666666666666667</x:v>
      </x:c>
      <x:c r="AU14" s="5" t="n">
        <x:v>0.3679855069222339</x:v>
      </x:c>
      <x:c r="AV14" s="5" t="n">
        <x:v>0.4892755697703027</x:v>
      </x:c>
      <x:c r="AW14" s="5" t="n">
        <x:v>0.1069759119679721</x:v>
      </x:c>
      <x:c r="AX14" s="5" t="n">
        <x:v>0.02853883831719264</x:v>
      </x:c>
      <x:c r="AY14" s="5" t="n">
        <x:v>0.00208002504976404</x:v>
      </x:c>
      <x:c r="AZ14" s="5" t="n">
        <x:v>0.005144147972534724</x:v>
      </x:c>
      <x:c r="BA14" s="5" t="n">
        <x:v>480.6666666666667</x:v>
      </x:c>
      <x:c r="BB14" s="5" t="n">
        <x:v>381.5666666666667</x:v>
      </x:c>
      <x:c r="BC14" s="5" t="n">
        <x:v>318.6333333333333</x:v>
      </x:c>
      <x:c r="BD14" s="3" t="n">
        <x:v>275</x:v>
      </x:c>
      <x:c r="BE14" s="5" t="n">
        <x:v>16.43333333333333</x:v>
      </x:c>
      <x:c r="BF14" s="5" t="n">
        <x:v>18.06666666666667</x:v>
      </x:c>
      <x:c r="BG14" s="5" t="n">
        <x:v>0.322515712017177</x:v>
      </x:c>
      <x:c r="BH14" s="5" t="n">
        <x:v>0.2560220080069782</x:v>
      </x:c>
      <x:c r="BI14" s="5" t="n">
        <x:v>0.2137952629106931</x:v>
      </x:c>
      <x:c r="BJ14" s="5" t="n">
        <x:v>0.1845183511887455</x:v>
      </x:c>
      <x:c r="BK14" s="5" t="n">
        <x:v>0.01102636934982443</x:v>
      </x:c>
      <x:c r="BL14" s="5" t="n">
        <x:v>0.01212229652658183</x:v>
      </x:c>
    </x:row>
    <x:row r="15">
      <x:c r="A15" s="3" t="n">
        <x:v>10000758</x:v>
      </x:c>
      <x:c r="B15" s="6" t="n">
        <x:v>45138</x:v>
      </x:c>
      <x:c r="C15" s="5" t="n">
        <x:v>77576.39999999999</x:v>
      </x:c>
      <x:c r="D15" s="5" t="n">
        <x:v>25938.3</x:v>
      </x:c>
      <x:c r="E15" s="5" t="n">
        <x:v>11307.1</x:v>
      </x:c>
      <x:c r="F15" s="3" t="n">
        <x:v>15693</x:v>
      </x:c>
      <x:c r="G15" s="3" t="n">
        <x:v>5389</x:v>
      </x:c>
      <x:c r="H15" s="3" t="n">
        <x:v>19249</x:v>
      </x:c>
      <x:c r="I15" s="3" t="n">
        <x:v>236472</x:v>
      </x:c>
      <x:c r="J15" s="5" t="n">
        <x:v>0.009066612537636591</x:v>
      </x:c>
      <x:c r="K15" s="5" t="n">
        <x:v>0.06494637842958151</x:v>
      </x:c>
      <x:c r="L15" s="5" t="n">
        <x:v>0.2178228289184343</x:v>
      </x:c>
      <x:c r="M15" s="5" t="n">
        <x:v>0.4803486247843297</x:v>
      </x:c>
      <x:c r="N15" s="5" t="n">
        <x:v>0.1585219391725025</x:v>
      </x:c>
      <x:c r="O15" s="5" t="n">
        <x:v>0.06929361615751548</x:v>
      </x:c>
      <x:c r="P15" s="3" t="n">
        <x:v>29</x:v>
      </x:c>
      <x:c r="Q15" s="3" t="n">
        <x:v>4</x:v>
      </x:c>
      <x:c r="R15" s="3" t="n">
        <x:v>0</x:v>
      </x:c>
      <x:c r="S15" s="3" t="n">
        <x:v>9</x:v>
      </x:c>
      <x:c r="T15" s="3" t="n">
        <x:v>9</x:v>
      </x:c>
      <x:c r="U15" s="3" t="n">
        <x:v>6</x:v>
      </x:c>
      <x:c r="V15" s="3" t="n">
        <x:v>1</x:v>
      </x:c>
      <x:c r="W15" s="3" t="n">
        <x:v>0</x:v>
      </x:c>
      <x:c r="X15" s="3" t="n">
        <x:v>1</x:v>
      </x:c>
      <x:c r="Y15" s="3" t="n">
        <x:v>0</x:v>
      </x:c>
      <x:c r="Z15" s="3" t="n">
        <x:v>202307</x:v>
      </x:c>
      <x:c r="AA15" s="5" t="n">
        <x:v>1976.233333333333</x:v>
      </x:c>
      <x:c r="AB15" s="5" t="n">
        <x:v>1962.633333333333</x:v>
      </x:c>
      <x:c r="AC15" s="5" t="n">
        <x:v>1251.9</x:v>
      </x:c>
      <x:c r="AD15" s="5" t="n">
        <x:v>984.7333333333333</x:v>
      </x:c>
      <x:c r="AE15" s="5" t="n">
        <x:v>1096.833333333333</x:v>
      </x:c>
      <x:c r="AF15" s="5" t="n">
        <x:v>1151.166666666667</x:v>
      </x:c>
      <x:c r="AG15" s="5" t="n">
        <x:v>1071.2</x:v>
      </x:c>
      <x:c r="AH15" s="5" t="n">
        <x:v>1173.4</x:v>
      </x:c>
      <x:c r="AI15" s="5" t="n">
        <x:v>1304.966666666667</x:v>
      </x:c>
      <x:c r="AJ15" s="5" t="n">
        <x:v>1510.2</x:v>
      </x:c>
      <x:c r="AK15" s="5" t="n">
        <x:v>1475.9</x:v>
      </x:c>
      <x:c r="AL15" s="5" t="n">
        <x:v>1520.033333333333</x:v>
      </x:c>
      <x:c r="AM15" s="5" t="n">
        <x:v>1869.166666666667</x:v>
      </x:c>
      <x:c r="AN15" s="5" t="n">
        <x:v>1976.233333333333</x:v>
      </x:c>
      <x:c r="AO15" s="5" t="n">
        <x:v>642.2</x:v>
      </x:c>
      <x:c r="AP15" s="5" t="n">
        <x:v>972.2</x:v>
      </x:c>
      <x:c r="AQ15" s="5" t="n">
        <x:v>260.5666666666667</x:v>
      </x:c>
      <x:c r="AR15" s="5" t="n">
        <x:v>65.90000000000001</x:v>
      </x:c>
      <x:c r="AS15" s="5" t="n">
        <x:v>7.366666666666666</x:v>
      </x:c>
      <x:c r="AT15" s="3" t="n">
        <x:v>28</x:v>
      </x:c>
      <x:c r="AU15" s="5" t="n">
        <x:v>0.3249616273382023</x:v>
      </x:c>
      <x:c r="AV15" s="5" t="n">
        <x:v>0.4919459577985056</x:v>
      </x:c>
      <x:c r="AW15" s="5" t="n">
        <x:v>0.131850152647292</x:v>
      </x:c>
      <x:c r="AX15" s="5" t="n">
        <x:v>0.03334626477979996</x:v>
      </x:c>
      <x:c r="AY15" s="5" t="n">
        <x:v>0.003727630003204749</x:v>
      </x:c>
      <x:c r="AZ15" s="5" t="n">
        <x:v>0.01416836743299543</x:v>
      </x:c>
      <x:c r="BA15" s="5" t="n">
        <x:v>510.7333333333333</x:v>
      </x:c>
      <x:c r="BB15" s="5" t="n">
        <x:v>520.3666666666667</x:v>
      </x:c>
      <x:c r="BC15" s="5" t="n">
        <x:v>525.3333333333334</x:v>
      </x:c>
      <x:c r="BD15" s="5" t="n">
        <x:v>367.8</x:v>
      </x:c>
      <x:c r="BE15" s="5" t="n">
        <x:v>21.26666666666667</x:v>
      </x:c>
      <x:c r="BF15" s="5" t="n">
        <x:v>30.73333333333333</x:v>
      </x:c>
      <x:c r="BG15" s="5" t="n">
        <x:v>0.2584377688194714</x:v>
      </x:c>
      <x:c r="BH15" s="5" t="n">
        <x:v>0.2633123619005853</x:v>
      </x:c>
      <x:c r="BI15" s="5" t="n">
        <x:v>0.2658255604095333</x:v>
      </x:c>
      <x:c r="BJ15" s="5" t="n">
        <x:v>0.1861116264948471</x:v>
      </x:c>
      <x:c r="BK15" s="5" t="n">
        <x:v>0.01076121240744177</x:v>
      </x:c>
      <x:c r="BL15" s="5" t="n">
        <x:v>0.01555146996812117</x:v>
      </x:c>
    </x:row>
    <x:row r="16">
      <x:c r="A16" s="3" t="n">
        <x:v>10000770</x:v>
      </x:c>
      <x:c r="B16" s="6" t="n">
        <x:v>45120</x:v>
      </x:c>
      <x:c r="C16" s="5" t="n">
        <x:v>39059.4</x:v>
      </x:c>
      <x:c r="D16" s="5" t="n">
        <x:v>22594.2</x:v>
      </x:c>
      <x:c r="E16" s="5" t="n">
        <x:v>12461.2</x:v>
      </x:c>
      <x:c r="F16" s="3" t="n">
        <x:v>4004</x:v>
      </x:c>
      <x:c r="G16" s="3" t="n"/>
      <x:c r="H16" s="3" t="n"/>
      <x:c r="I16" s="3" t="n">
        <x:v>135912</x:v>
      </x:c>
      <x:c r="J16" s="5" t="n">
        <x:v>0.004480840543881335</x:v>
      </x:c>
      <x:c r="K16" s="5" t="n">
        <x:v>0.04426393548766849</x:v>
      </x:c>
      <x:c r="L16" s="5" t="n">
        <x:v>0.1630466772617576</x:v>
      </x:c>
      <x:c r="M16" s="5" t="n">
        <x:v>0.4524250985932073</x:v>
      </x:c>
      <x:c r="N16" s="5" t="n">
        <x:v>0.24988227676732</x:v>
      </x:c>
      <x:c r="O16" s="5" t="n">
        <x:v>0.08590117134616516</x:v>
      </x:c>
      <x:c r="P16" s="3" t="n">
        <x:v>20</x:v>
      </x:c>
      <x:c r="Q16" s="3" t="n">
        <x:v>3</x:v>
      </x:c>
      <x:c r="R16" s="3" t="n">
        <x:v>0</x:v>
      </x:c>
      <x:c r="S16" s="3" t="n">
        <x:v>12</x:v>
      </x:c>
      <x:c r="T16" s="3" t="n">
        <x:v>1</x:v>
      </x:c>
      <x:c r="U16" s="3" t="n">
        <x:v>0</x:v>
      </x:c>
      <x:c r="V16" s="3" t="n">
        <x:v>4</x:v>
      </x:c>
      <x:c r="W16" s="3" t="n">
        <x:v>0</x:v>
      </x:c>
      <x:c r="X16" s="3" t="n">
        <x:v>2</x:v>
      </x:c>
      <x:c r="Y16" s="3" t="n">
        <x:v>0</x:v>
      </x:c>
      <x:c r="Z16" s="3" t="n">
        <x:v>202307</x:v>
      </x:c>
      <x:c r="AA16" s="5" t="n">
        <x:v>2044.766666666667</x:v>
      </x:c>
      <x:c r="AB16" s="5" t="n">
        <x:v>1508.6</x:v>
      </x:c>
      <x:c r="AC16" s="5" t="n">
        <x:v>1191.3</x:v>
      </x:c>
      <x:c r="AD16" s="5" t="n">
        <x:v>1115.8</x:v>
      </x:c>
      <x:c r="AE16" s="3" t="n">
        <x:v>1007</x:v>
      </x:c>
      <x:c r="AF16" s="3" t="n">
        <x:v>1012</x:v>
      </x:c>
      <x:c r="AG16" s="5" t="n">
        <x:v>1101.666666666667</x:v>
      </x:c>
      <x:c r="AH16" s="5" t="n">
        <x:v>1019.933333333333</x:v>
      </x:c>
      <x:c r="AI16" s="5" t="n">
        <x:v>972.5666666666667</x:v>
      </x:c>
      <x:c r="AJ16" s="5" t="n">
        <x:v>1149.1</x:v>
      </x:c>
      <x:c r="AK16" s="5" t="n">
        <x:v>1205.866666666667</x:v>
      </x:c>
      <x:c r="AL16" s="5" t="n">
        <x:v>1499.1</x:v>
      </x:c>
      <x:c r="AM16" s="5" t="n">
        <x:v>1731.766666666667</x:v>
      </x:c>
      <x:c r="AN16" s="5" t="n">
        <x:v>2044.766666666667</x:v>
      </x:c>
      <x:c r="AO16" s="5" t="n">
        <x:v>780.5666666666667</x:v>
      </x:c>
      <x:c r="AP16" s="5" t="n">
        <x:v>974.7333333333333</x:v>
      </x:c>
      <x:c r="AQ16" s="5" t="n">
        <x:v>219.1666666666667</x:v>
      </x:c>
      <x:c r="AR16" s="5" t="n">
        <x:v>50.33333333333334</x:v>
      </x:c>
      <x:c r="AS16" s="5" t="n">
        <x:v>7.266666666666667</x:v>
      </x:c>
      <x:c r="AT16" s="5" t="n">
        <x:v>12.7</x:v>
      </x:c>
      <x:c r="AU16" s="5" t="n">
        <x:v>0.3817387476973738</x:v>
      </x:c>
      <x:c r="AV16" s="5" t="n">
        <x:v>0.4766966075998891</x:v>
      </x:c>
      <x:c r="AW16" s="5" t="n">
        <x:v>0.1071841937955431</x:v>
      </x:c>
      <x:c r="AX16" s="5" t="n">
        <x:v>0.02461568557129583</x:v>
      </x:c>
      <x:c r="AY16" s="5" t="n">
        <x:v>0.00355378771824006</x:v>
      </x:c>
      <x:c r="AZ16" s="5" t="n">
        <x:v>0.006210977617658086</x:v>
      </x:c>
      <x:c r="BA16" s="5" t="n">
        <x:v>783.7666666666667</x:v>
      </x:c>
      <x:c r="BB16" s="3" t="n">
        <x:v>717</x:v>
      </x:c>
      <x:c r="BC16" s="5" t="n">
        <x:v>322.2666666666667</x:v>
      </x:c>
      <x:c r="BD16" s="5" t="n">
        <x:v>171.9</x:v>
      </x:c>
      <x:c r="BE16" s="5" t="n">
        <x:v>0.06666666666666667</x:v>
      </x:c>
      <x:c r="BF16" s="5" t="n">
        <x:v>49.76666666666667</x:v>
      </x:c>
      <x:c r="BG16" s="5" t="n">
        <x:v>0.3833037184356813</x:v>
      </x:c>
      <x:c r="BH16" s="5" t="n">
        <x:v>0.3506512560520353</x:v>
      </x:c>
      <x:c r="BI16" s="5" t="n">
        <x:v>0.1576055947703894</x:v>
      </x:c>
      <x:c r="BJ16" s="5" t="n">
        <x:v>0.08406827184845866</x:v>
      </x:c>
      <x:c r="BK16" s="5" t="n">
        <x:v>3.260355704807395e-05</x:v>
      </x:c>
      <x:c r="BL16" s="5" t="n">
        <x:v>0.0243385553363872</x:v>
      </x:c>
    </x:row>
    <x:row r="17">
      <x:c r="A17" s="3" t="n">
        <x:v>10000771</x:v>
      </x:c>
      <x:c r="B17" s="6" t="n">
        <x:v>45120</x:v>
      </x:c>
      <x:c r="C17" s="5" t="n">
        <x:v>28997.9</x:v>
      </x:c>
      <x:c r="D17" s="5" t="n">
        <x:v>19782.8</x:v>
      </x:c>
      <x:c r="E17" s="5" t="n">
        <x:v>7706.6</x:v>
      </x:c>
      <x:c r="F17" s="5" t="n">
        <x:v>1508.5</x:v>
      </x:c>
      <x:c r="G17" s="3" t="n"/>
      <x:c r="H17" s="3" t="n"/>
      <x:c r="I17" s="3" t="n">
        <x:v>90017</x:v>
      </x:c>
      <x:c r="J17" s="5" t="n">
        <x:v>0.004243642867458369</x:v>
      </x:c>
      <x:c r="K17" s="5" t="n">
        <x:v>0.04611351189219814</x:v>
      </x:c>
      <x:c r="L17" s="5" t="n">
        <x:v>0.1702456202717265</x:v>
      </x:c>
      <x:c r="M17" s="5" t="n">
        <x:v>0.4787762311563372</x:v>
      </x:c>
      <x:c r="N17" s="5" t="n">
        <x:v>0.2236577535354433</x:v>
      </x:c>
      <x:c r="O17" s="5" t="n">
        <x:v>0.0769632402768366</x:v>
      </x:c>
      <x:c r="P17" s="3" t="n">
        <x:v>16</x:v>
      </x:c>
      <x:c r="Q17" s="3" t="n">
        <x:v>0</x:v>
      </x:c>
      <x:c r="R17" s="3" t="n">
        <x:v>0</x:v>
      </x:c>
      <x:c r="S17" s="3" t="n">
        <x:v>7</x:v>
      </x:c>
      <x:c r="T17" s="3" t="n">
        <x:v>4</x:v>
      </x:c>
      <x:c r="U17" s="3" t="n">
        <x:v>4</x:v>
      </x:c>
      <x:c r="V17" s="3" t="n">
        <x:v>1</x:v>
      </x:c>
      <x:c r="W17" s="3" t="n">
        <x:v>0</x:v>
      </x:c>
      <x:c r="X17" s="3" t="n">
        <x:v>0</x:v>
      </x:c>
      <x:c r="Y17" s="3" t="n">
        <x:v>0</x:v>
      </x:c>
      <x:c r="Z17" s="3" t="n">
        <x:v>202307</x:v>
      </x:c>
      <x:c r="AA17" s="5" t="n">
        <x:v>1567.633333333333</x:v>
      </x:c>
      <x:c r="AB17" s="5" t="n">
        <x:v>1491.1</x:v>
      </x:c>
      <x:c r="AC17" s="5" t="n">
        <x:v>1222.566666666667</x:v>
      </x:c>
      <x:c r="AD17" s="5" t="n">
        <x:v>1184.9</x:v>
      </x:c>
      <x:c r="AE17" s="5" t="n">
        <x:v>1026.366666666667</x:v>
      </x:c>
      <x:c r="AF17" s="5" t="n">
        <x:v>1032.566666666667</x:v>
      </x:c>
      <x:c r="AG17" s="5" t="n">
        <x:v>1137.033333333333</x:v>
      </x:c>
      <x:c r="AH17" s="5" t="n">
        <x:v>980.5</x:v>
      </x:c>
      <x:c r="AI17" s="5" t="n">
        <x:v>944.5</x:v>
      </x:c>
      <x:c r="AJ17" s="5" t="n">
        <x:v>1140.833333333333</x:v>
      </x:c>
      <x:c r="AK17" s="5" t="n">
        <x:v>1142.433333333333</x:v>
      </x:c>
      <x:c r="AL17" s="5" t="n">
        <x:v>1174.7</x:v>
      </x:c>
      <x:c r="AM17" s="5" t="n">
        <x:v>1323.333333333333</x:v>
      </x:c>
      <x:c r="AN17" s="5" t="n">
        <x:v>1567.633333333333</x:v>
      </x:c>
      <x:c r="AO17" s="5" t="n">
        <x:v>576.6666666666666</x:v>
      </x:c>
      <x:c r="AP17" s="5" t="n">
        <x:v>763.9333333333333</x:v>
      </x:c>
      <x:c r="AQ17" s="5" t="n">
        <x:v>168.9</x:v>
      </x:c>
      <x:c r="AR17" s="5" t="n">
        <x:v>42.63333333333333</x:v>
      </x:c>
      <x:c r="AS17" s="5" t="n">
        <x:v>5.8</x:v>
      </x:c>
      <x:c r="AT17" s="5" t="n">
        <x:v>9.699999999999999</x:v>
      </x:c>
      <x:c r="AU17" s="5" t="n">
        <x:v>0.3678581300899444</x:v>
      </x:c>
      <x:c r="AV17" s="5" t="n">
        <x:v>0.4873163367284016</x:v>
      </x:c>
      <x:c r="AW17" s="5" t="n">
        <x:v>0.107742031512471</x:v>
      </x:c>
      <x:c r="AX17" s="5" t="n">
        <x:v>0.0271959854557826</x:v>
      </x:c>
      <x:c r="AY17" s="5" t="n">
        <x:v>0.003699844776627187</x:v>
      </x:c>
      <x:c r="AZ17" s="5" t="n">
        <x:v>0.006187671436773054</x:v>
      </x:c>
      <x:c r="BA17" s="5" t="n">
        <x:v>979.6</x:v>
      </x:c>
      <x:c r="BB17" s="5" t="n">
        <x:v>222.5</x:v>
      </x:c>
      <x:c r="BC17" s="5" t="n">
        <x:v>207.1333333333333</x:v>
      </x:c>
      <x:c r="BD17" s="5" t="n">
        <x:v>123.7333333333333</x:v>
      </x:c>
      <x:c r="BE17" s="3" t="n">
        <x:v>0</x:v>
      </x:c>
      <x:c r="BF17" s="5" t="n">
        <x:v>34.66666666666666</x:v>
      </x:c>
      <x:c r="BG17" s="5" t="n">
        <x:v>0.6248910246868953</x:v>
      </x:c>
      <x:c r="BH17" s="5" t="n">
        <x:v>0.1419337004826809</x:v>
      </x:c>
      <x:c r="BI17" s="5" t="n">
        <x:v>0.1321312381721916</x:v>
      </x:c>
      <x:c r="BJ17" s="5" t="n">
        <x:v>0.07893002190138</x:v>
      </x:c>
      <x:c r="BK17" s="3" t="n">
        <x:v>0</x:v>
      </x:c>
      <x:c r="BL17" s="5" t="n">
        <x:v>0.02211401475685215</x:v>
      </x:c>
    </x:row>
    <x:row r="18">
      <x:c r="A18" s="3" t="n">
        <x:v>10000772</x:v>
      </x:c>
      <x:c r="B18" s="6" t="n">
        <x:v>45144</x:v>
      </x:c>
      <x:c r="C18" s="5" t="n">
        <x:v>39716.9</x:v>
      </x:c>
      <x:c r="D18" s="5" t="n">
        <x:v>19620.4</x:v>
      </x:c>
      <x:c r="E18" s="5" t="n">
        <x:v>7747.5</x:v>
      </x:c>
      <x:c r="F18" s="3" t="n">
        <x:v>6605</x:v>
      </x:c>
      <x:c r="G18" s="3" t="n">
        <x:v>5744</x:v>
      </x:c>
      <x:c r="H18" s="3" t="n"/>
      <x:c r="I18" s="3" t="n">
        <x:v>88062</x:v>
      </x:c>
      <x:c r="J18" s="5" t="n">
        <x:v>0.003486180191228907</x:v>
      </x:c>
      <x:c r="K18" s="5" t="n">
        <x:v>0.05221321341781927</x:v>
      </x:c>
      <x:c r="L18" s="5" t="n">
        <x:v>0.2078081351774886</x:v>
      </x:c>
      <x:c r="M18" s="5" t="n">
        <x:v>0.4928686607163135</x:v>
      </x:c>
      <x:c r="N18" s="5" t="n">
        <x:v>0.1690286389134928</x:v>
      </x:c>
      <x:c r="O18" s="5" t="n">
        <x:v>0.07459517158365697</x:v>
      </x:c>
      <x:c r="P18" s="3" t="n">
        <x:v>15</x:v>
      </x:c>
      <x:c r="Q18" s="3" t="n">
        <x:v>1</x:v>
      </x:c>
      <x:c r="R18" s="3" t="n">
        <x:v>0</x:v>
      </x:c>
      <x:c r="S18" s="3" t="n">
        <x:v>4</x:v>
      </x:c>
      <x:c r="T18" s="3" t="n">
        <x:v>4</x:v>
      </x:c>
      <x:c r="U18" s="3" t="n">
        <x:v>3</x:v>
      </x:c>
      <x:c r="V18" s="3" t="n">
        <x:v>3</x:v>
      </x:c>
      <x:c r="W18" s="3" t="n">
        <x:v>0</x:v>
      </x:c>
      <x:c r="X18" s="3" t="n">
        <x:v>1</x:v>
      </x:c>
      <x:c r="Y18" s="3" t="n">
        <x:v>0</x:v>
      </x:c>
      <x:c r="Z18" s="3" t="n">
        <x:v>202308</x:v>
      </x:c>
      <x:c r="AA18" s="5" t="n">
        <x:v>1725.833333333333</x:v>
      </x:c>
      <x:c r="AB18" s="5" t="n">
        <x:v>1795.366666666667</x:v>
      </x:c>
      <x:c r="AC18" s="3" t="n">
        <x:v>1276</x:v>
      </x:c>
      <x:c r="AD18" s="5" t="n">
        <x:v>993.8666666666667</x:v>
      </x:c>
      <x:c r="AE18" s="5" t="n">
        <x:v>1069.966666666667</x:v>
      </x:c>
      <x:c r="AF18" s="5" t="n">
        <x:v>1086.5</x:v>
      </x:c>
      <x:c r="AG18" s="5" t="n">
        <x:v>1000.466666666667</x:v>
      </x:c>
      <x:c r="AH18" s="5" t="n">
        <x:v>934.5666666666667</x:v>
      </x:c>
      <x:c r="AI18" s="5" t="n">
        <x:v>1108.833333333333</x:v>
      </x:c>
      <x:c r="AJ18" s="5" t="n">
        <x:v>1167.2</x:v>
      </x:c>
      <x:c r="AK18" s="5" t="n">
        <x:v>1190.666666666667</x:v>
      </x:c>
      <x:c r="AL18" s="5" t="n">
        <x:v>1299.733333333333</x:v>
      </x:c>
      <x:c r="AM18" s="5" t="n">
        <x:v>1525.133333333333</x:v>
      </x:c>
      <x:c r="AN18" s="5" t="n">
        <x:v>1725.833333333333</x:v>
      </x:c>
      <x:c r="AO18" s="5" t="n">
        <x:v>526.7666666666667</x:v>
      </x:c>
      <x:c r="AP18" s="5" t="n">
        <x:v>878.5666666666667</x:v>
      </x:c>
      <x:c r="AQ18" s="5" t="n">
        <x:v>234.6333333333333</x:v>
      </x:c>
      <x:c r="AR18" s="5" t="n">
        <x:v>58.76666666666667</x:v>
      </x:c>
      <x:c r="AS18" s="5" t="n">
        <x:v>5.233333333333333</x:v>
      </x:c>
      <x:c r="AT18" s="5" t="n">
        <x:v>21.86666666666667</x:v>
      </x:c>
      <x:c r="AU18" s="5" t="n">
        <x:v>0.3052245292129406</x:v>
      </x:c>
      <x:c r="AV18" s="5" t="n">
        <x:v>0.509068083051666</x:v>
      </x:c>
      <x:c r="AW18" s="5" t="n">
        <x:v>0.1359536455818445</x:v>
      </x:c>
      <x:c r="AX18" s="5" t="n">
        <x:v>0.03405118300338001</x:v>
      </x:c>
      <x:c r="AY18" s="5" t="n">
        <x:v>0.003032351521004346</x:v>
      </x:c>
      <x:c r="AZ18" s="5" t="n">
        <x:v>0.01267020762916466</x:v>
      </x:c>
      <x:c r="BA18" s="3" t="n">
        <x:v>503</x:v>
      </x:c>
      <x:c r="BB18" s="5" t="n">
        <x:v>455.1</x:v>
      </x:c>
      <x:c r="BC18" s="5" t="n">
        <x:v>372.0333333333334</x:v>
      </x:c>
      <x:c r="BD18" s="5" t="n">
        <x:v>277.7333333333333</x:v>
      </x:c>
      <x:c r="BE18" s="5" t="n">
        <x:v>96.96666666666667</x:v>
      </x:c>
      <x:c r="BF18" s="3" t="n">
        <x:v>21</x:v>
      </x:c>
      <x:c r="BG18" s="5" t="n">
        <x:v>0.2914534041525833</x:v>
      </x:c>
      <x:c r="BH18" s="5" t="n">
        <x:v>0.2636986962819894</x:v>
      </x:c>
      <x:c r="BI18" s="5" t="n">
        <x:v>0.2155673587638822</x:v>
      </x:c>
      <x:c r="BJ18" s="5" t="n">
        <x:v>0.1609270883631096</x:v>
      </x:c>
      <x:c r="BK18" s="5" t="n">
        <x:v>0.05618541767262192</x:v>
      </x:c>
      <x:c r="BL18" s="5" t="n">
        <x:v>0.01216803476581362</x:v>
      </x:c>
    </x:row>
    <x:row r="19">
      <x:c r="A19" s="3" t="n">
        <x:v>10000801</x:v>
      </x:c>
      <x:c r="B19" s="6" t="n">
        <x:v>45149</x:v>
      </x:c>
      <x:c r="C19" s="5" t="n">
        <x:v>51934.9</x:v>
      </x:c>
      <x:c r="D19" s="3" t="n">
        <x:v>30000</x:v>
      </x:c>
      <x:c r="E19" s="5" t="n">
        <x:v>15624.5</x:v>
      </x:c>
      <x:c r="F19" s="5" t="n">
        <x:v>5770.4</x:v>
      </x:c>
      <x:c r="G19" s="3" t="n">
        <x:v>540</x:v>
      </x:c>
      <x:c r="H19" s="3" t="n"/>
      <x:c r="I19" s="3" t="n">
        <x:v>198401</x:v>
      </x:c>
      <x:c r="J19" s="5" t="n">
        <x:v>0.004611871915968165</x:v>
      </x:c>
      <x:c r="K19" s="5" t="n">
        <x:v>0.03266112569997127</x:v>
      </x:c>
      <x:c r="L19" s="5" t="n">
        <x:v>0.1363601997973801</x:v>
      </x:c>
      <x:c r="M19" s="5" t="n">
        <x:v>0.4812324534654563</x:v>
      </x:c>
      <x:c r="N19" s="5" t="n">
        <x:v>0.2778211803367927</x:v>
      </x:c>
      <x:c r="O19" s="5" t="n">
        <x:v>0.06731316878443153</x:v>
      </x:c>
      <x:c r="P19" s="3" t="n">
        <x:v>38</x:v>
      </x:c>
      <x:c r="Q19" s="3" t="n">
        <x:v>7</x:v>
      </x:c>
      <x:c r="R19" s="3" t="n">
        <x:v>0</x:v>
      </x:c>
      <x:c r="S19" s="3" t="n">
        <x:v>20</x:v>
      </x:c>
      <x:c r="T19" s="3" t="n">
        <x:v>2</x:v>
      </x:c>
      <x:c r="U19" s="3" t="n">
        <x:v>7</x:v>
      </x:c>
      <x:c r="V19" s="3" t="n">
        <x:v>2</x:v>
      </x:c>
      <x:c r="W19" s="3" t="n">
        <x:v>1</x:v>
      </x:c>
      <x:c r="X19" s="3" t="n">
        <x:v>2</x:v>
      </x:c>
      <x:c r="Y19" s="3" t="n">
        <x:v>0</x:v>
      </x:c>
      <x:c r="Z19" s="3" t="n">
        <x:v>202308</x:v>
      </x:c>
      <x:c r="AA19" s="5" t="n">
        <x:v>2932.233333333333</x:v>
      </x:c>
      <x:c r="AB19" s="5" t="n">
        <x:v>2469.066666666667</x:v>
      </x:c>
      <x:c r="AC19" s="5" t="n">
        <x:v>1777.6</x:v>
      </x:c>
      <x:c r="AD19" s="3" t="n">
        <x:v>1778</x:v>
      </x:c>
      <x:c r="AE19" s="5" t="n">
        <x:v>1899.833333333333</x:v>
      </x:c>
      <x:c r="AF19" s="5" t="n">
        <x:v>1955.533333333333</x:v>
      </x:c>
      <x:c r="AG19" s="5" t="n">
        <x:v>1714.3</x:v>
      </x:c>
      <x:c r="AH19" s="5" t="n">
        <x:v>1634.7</x:v>
      </x:c>
      <x:c r="AI19" s="5" t="n">
        <x:v>1987.866666666667</x:v>
      </x:c>
      <x:c r="AJ19" s="5" t="n">
        <x:v>2223.033333333333</x:v>
      </x:c>
      <x:c r="AK19" s="5" t="n">
        <x:v>2264.366666666667</x:v>
      </x:c>
      <x:c r="AL19" s="5" t="n">
        <x:v>2452.133333333333</x:v>
      </x:c>
      <x:c r="AM19" s="5" t="n">
        <x:v>2920.9</x:v>
      </x:c>
      <x:c r="AN19" s="5" t="n">
        <x:v>2932.233333333333</x:v>
      </x:c>
      <x:c r="AO19" s="5" t="n">
        <x:v>1042.866666666667</x:v>
      </x:c>
      <x:c r="AP19" s="5" t="n">
        <x:v>1493.066666666667</x:v>
      </x:c>
      <x:c r="AQ19" s="5" t="n">
        <x:v>296.3666666666667</x:v>
      </x:c>
      <x:c r="AR19" s="5" t="n">
        <x:v>67.76666666666667</x:v>
      </x:c>
      <x:c r="AS19" s="5" t="n">
        <x:v>9.300000000000001</x:v>
      </x:c>
      <x:c r="AT19" s="5" t="n">
        <x:v>22.86666666666667</x:v>
      </x:c>
      <x:c r="AU19" s="5" t="n">
        <x:v>0.3556560983095934</x:v>
      </x:c>
      <x:c r="AV19" s="5" t="n">
        <x:v>0.5091909466049769</x:v>
      </x:c>
      <x:c r="AW19" s="5" t="n">
        <x:v>0.1010719929064308</x:v>
      </x:c>
      <x:c r="AX19" s="5" t="n">
        <x:v>0.0231109393295213</x:v>
      </x:c>
      <x:c r="AY19" s="5" t="n">
        <x:v>0.003171643911921517</x:v>
      </x:c>
      <x:c r="AZ19" s="5" t="n">
        <x:v>0.00779837893755613</x:v>
      </x:c>
      <x:c r="BA19" s="5" t="n">
        <x:v>1012.766666666667</x:v>
      </x:c>
      <x:c r="BB19" s="5" t="n">
        <x:v>783.2666666666667</x:v>
      </x:c>
      <x:c r="BC19" s="5" t="n">
        <x:v>739.8666666666667</x:v>
      </x:c>
      <x:c r="BD19" s="5" t="n">
        <x:v>365.2</x:v>
      </x:c>
      <x:c r="BE19" s="5" t="n">
        <x:v>0.8</x:v>
      </x:c>
      <x:c r="BF19" s="5" t="n">
        <x:v>30.33333333333333</x:v>
      </x:c>
      <x:c r="BG19" s="5" t="n">
        <x:v>0.3453908852183205</x:v>
      </x:c>
      <x:c r="BH19" s="5" t="n">
        <x:v>0.2671228983596121</x:v>
      </x:c>
      <x:c r="BI19" s="5" t="n">
        <x:v>0.2523218934373118</x:v>
      </x:c>
      <x:c r="BJ19" s="5" t="n">
        <x:v>0.1245467050143804</x:v>
      </x:c>
      <x:c r="BK19" s="5" t="n">
        <x:v>0.0002728295838212057</x:v>
      </x:c>
      <x:c r="BL19" s="5" t="n">
        <x:v>0.01034478838655405</x:v>
      </x:c>
    </x:row>
    <x:row r="20">
      <x:c r="A20" s="3" t="n">
        <x:v>10000802</x:v>
      </x:c>
      <x:c r="B20" s="6" t="n">
        <x:v>45149</x:v>
      </x:c>
      <x:c r="C20" s="5" t="n">
        <x:v>47104.19999999998</x:v>
      </x:c>
      <x:c r="D20" s="5" t="n">
        <x:v>33717.6</x:v>
      </x:c>
      <x:c r="E20" s="5" t="n">
        <x:v>9025.399999999991</x:v>
      </x:c>
      <x:c r="F20" s="5" t="n">
        <x:v>4361.2</x:v>
      </x:c>
      <x:c r="G20" s="3" t="n"/>
      <x:c r="H20" s="3" t="n"/>
      <x:c r="I20" s="3" t="n">
        <x:v>179512</x:v>
      </x:c>
      <x:c r="J20" s="5" t="n">
        <x:v>0.00713044253308971</x:v>
      </x:c>
      <x:c r="K20" s="5" t="n">
        <x:v>0.0561912295556843</x:v>
      </x:c>
      <x:c r="L20" s="5" t="n">
        <x:v>0.1813472079860956</x:v>
      </x:c>
      <x:c r="M20" s="5" t="n">
        <x:v>0.4318485672267035</x:v>
      </x:c>
      <x:c r="N20" s="5" t="n">
        <x:v>0.1950955924952092</x:v>
      </x:c>
      <x:c r="O20" s="5" t="n">
        <x:v>0.1283869602032176</x:v>
      </x:c>
      <x:c r="P20" s="3" t="n">
        <x:v>45</x:v>
      </x:c>
      <x:c r="Q20" s="3" t="n">
        <x:v>3</x:v>
      </x:c>
      <x:c r="R20" s="3" t="n">
        <x:v>2</x:v>
      </x:c>
      <x:c r="S20" s="3" t="n">
        <x:v>26</x:v>
      </x:c>
      <x:c r="T20" s="3" t="n">
        <x:v>5</x:v>
      </x:c>
      <x:c r="U20" s="3" t="n">
        <x:v>8</x:v>
      </x:c>
      <x:c r="V20" s="3" t="n">
        <x:v>1</x:v>
      </x:c>
      <x:c r="W20" s="3" t="n">
        <x:v>0</x:v>
      </x:c>
      <x:c r="X20" s="3" t="n">
        <x:v>2</x:v>
      </x:c>
      <x:c r="Y20" s="3" t="n">
        <x:v>0</x:v>
      </x:c>
      <x:c r="Z20" s="3" t="n">
        <x:v>202308</x:v>
      </x:c>
      <x:c r="AA20" s="5" t="n">
        <x:v>1889.3</x:v>
      </x:c>
      <x:c r="AB20" s="5" t="n">
        <x:v>1637.633333333333</x:v>
      </x:c>
      <x:c r="AC20" s="5" t="n">
        <x:v>1143.666666666667</x:v>
      </x:c>
      <x:c r="AD20" s="5" t="n">
        <x:v>1060.9</x:v>
      </x:c>
      <x:c r="AE20" s="5" t="n">
        <x:v>1127.066666666667</x:v>
      </x:c>
      <x:c r="AF20" s="5" t="n">
        <x:v>1305.5</x:v>
      </x:c>
      <x:c r="AG20" s="5" t="n">
        <x:v>1195.966666666667</x:v>
      </x:c>
      <x:c r="AH20" s="5" t="n">
        <x:v>1171.266666666667</x:v>
      </x:c>
      <x:c r="AI20" s="5" t="n">
        <x:v>1380.033333333333</x:v>
      </x:c>
      <x:c r="AJ20" s="5" t="n">
        <x:v>1517.833333333333</x:v>
      </x:c>
      <x:c r="AK20" s="5" t="n">
        <x:v>1527.033333333333</x:v>
      </x:c>
      <x:c r="AL20" s="5" t="n">
        <x:v>1619.2</x:v>
      </x:c>
      <x:c r="AM20" s="5" t="n">
        <x:v>1949.4</x:v>
      </x:c>
      <x:c r="AN20" s="5" t="n">
        <x:v>1889.3</x:v>
      </x:c>
      <x:c r="AO20" s="5" t="n">
        <x:v>762.9333333333333</x:v>
      </x:c>
      <x:c r="AP20" s="5" t="n">
        <x:v>880.7333333333333</x:v>
      </x:c>
      <x:c r="AQ20" s="5" t="n">
        <x:v>183.7333333333333</x:v>
      </x:c>
      <x:c r="AR20" s="5" t="n">
        <x:v>43.1</x:v>
      </x:c>
      <x:c r="AS20" s="5" t="n">
        <x:v>6.033333333333333</x:v>
      </x:c>
      <x:c r="AT20" s="5" t="n">
        <x:v>12.76666666666667</x:v>
      </x:c>
      <x:c r="AU20" s="5" t="n">
        <x:v>0.4038179925545616</x:v>
      </x:c>
      <x:c r="AV20" s="5" t="n">
        <x:v>0.4661691278956933</x:v>
      </x:c>
      <x:c r="AW20" s="5" t="n">
        <x:v>0.09724942218458335</x:v>
      </x:c>
      <x:c r="AX20" s="5" t="n">
        <x:v>0.02281268194569417</x:v>
      </x:c>
      <x:c r="AY20" s="5" t="n">
        <x:v>0.003193422608020607</x:v>
      </x:c>
      <x:c r="AZ20" s="5" t="n">
        <x:v>0.006757352811446921</x:v>
      </x:c>
      <x:c r="BA20" s="5" t="n">
        <x:v>1025.7</x:v>
      </x:c>
      <x:c r="BB20" s="5" t="n">
        <x:v>440.5333333333334</x:v>
      </x:c>
      <x:c r="BC20" s="5" t="n">
        <x:v>283.1666666666667</x:v>
      </x:c>
      <x:c r="BD20" s="5" t="n">
        <x:v>109.8666666666667</x:v>
      </x:c>
      <x:c r="BE20" s="5" t="n">
        <x:v>0.7</x:v>
      </x:c>
      <x:c r="BF20" s="5" t="n">
        <x:v>29.33333333333333</x:v>
      </x:c>
      <x:c r="BG20" s="5" t="n">
        <x:v>0.5428994865823321</x:v>
      </x:c>
      <x:c r="BH20" s="5" t="n">
        <x:v>0.2331727800419909</x:v>
      </x:c>
      <x:c r="BI20" s="5" t="n">
        <x:v>0.1498791439510224</x:v>
      </x:c>
      <x:c r="BJ20" s="5" t="n">
        <x:v>0.05815204925986697</x:v>
      </x:c>
      <x:c r="BK20" s="5" t="n">
        <x:v>0.0003705075954057058</x:v>
      </x:c>
      <x:c r="BL20" s="5" t="n">
        <x:v>0.01552603256938196</x:v>
      </x:c>
    </x:row>
    <x:row r="21">
      <x:c r="A21" s="3" t="n">
        <x:v>10000822</x:v>
      </x:c>
      <x:c r="B21" s="6" t="n">
        <x:v>45192</x:v>
      </x:c>
      <x:c r="C21" s="3" t="n">
        <x:v>37317</x:v>
      </x:c>
      <x:c r="D21" s="3" t="n">
        <x:v>17491</x:v>
      </x:c>
      <x:c r="E21" s="3" t="n">
        <x:v>13752</x:v>
      </x:c>
      <x:c r="F21" s="3" t="n">
        <x:v>6074</x:v>
      </x:c>
      <x:c r="G21" s="3" t="n"/>
      <x:c r="H21" s="3" t="n"/>
      <x:c r="I21" s="3" t="n">
        <x:v>102680</x:v>
      </x:c>
      <x:c r="J21" s="5" t="n">
        <x:v>0.004772107518504091</x:v>
      </x:c>
      <x:c r="K21" s="5" t="n">
        <x:v>0.05247370471367355</x:v>
      </x:c>
      <x:c r="L21" s="5" t="n">
        <x:v>0.1749026100506428</x:v>
      </x:c>
      <x:c r="M21" s="5" t="n">
        <x:v>0.4499902610050643</x:v>
      </x:c>
      <x:c r="N21" s="5" t="n">
        <x:v>0.2378749513050253</x:v>
      </x:c>
      <x:c r="O21" s="5" t="n">
        <x:v>0.07998636540708999</x:v>
      </x:c>
      <x:c r="P21" s="3" t="n">
        <x:v>14</x:v>
      </x:c>
      <x:c r="Q21" s="3" t="n">
        <x:v>1</x:v>
      </x:c>
      <x:c r="R21" s="3" t="n">
        <x:v>0</x:v>
      </x:c>
      <x:c r="S21" s="3" t="n">
        <x:v>8</x:v>
      </x:c>
      <x:c r="T21" s="3" t="n">
        <x:v>2</x:v>
      </x:c>
      <x:c r="U21" s="3" t="n">
        <x:v>0</x:v>
      </x:c>
      <x:c r="V21" s="3" t="n">
        <x:v>3</x:v>
      </x:c>
      <x:c r="W21" s="3" t="n">
        <x:v>0</x:v>
      </x:c>
      <x:c r="X21" s="3" t="n">
        <x:v>1</x:v>
      </x:c>
      <x:c r="Y21" s="3" t="n">
        <x:v>0</x:v>
      </x:c>
      <x:c r="Z21" s="3" t="n">
        <x:v>202309</x:v>
      </x:c>
      <x:c r="AA21" s="5" t="n">
        <x:v>1515.4</x:v>
      </x:c>
      <x:c r="AB21" s="5" t="n">
        <x:v>1266.633333333333</x:v>
      </x:c>
      <x:c r="AC21" s="5" t="n">
        <x:v>837.3333333333334</x:v>
      </x:c>
      <x:c r="AD21" s="5" t="n">
        <x:v>927.4333333333333</x:v>
      </x:c>
      <x:c r="AE21" s="5" t="n">
        <x:v>947.9666666666667</x:v>
      </x:c>
      <x:c r="AF21" s="5" t="n">
        <x:v>856.9666666666667</x:v>
      </x:c>
      <x:c r="AG21" s="5" t="n">
        <x:v>1085.233333333333</x:v>
      </x:c>
      <x:c r="AH21" s="5" t="n">
        <x:v>1153.266666666667</x:v>
      </x:c>
      <x:c r="AI21" s="5" t="n">
        <x:v>1164.966666666667</x:v>
      </x:c>
      <x:c r="AJ21" s="5" t="n">
        <x:v>1248.6</x:v>
      </x:c>
      <x:c r="AK21" s="5" t="n">
        <x:v>1514.733333333333</x:v>
      </x:c>
      <x:c r="AL21" s="5" t="n">
        <x:v>1726.066666666667</x:v>
      </x:c>
      <x:c r="AM21" s="5" t="n">
        <x:v>1696.133333333333</x:v>
      </x:c>
      <x:c r="AN21" s="5" t="n">
        <x:v>1515.4</x:v>
      </x:c>
      <x:c r="AO21" s="5" t="n">
        <x:v>640.9333333333333</x:v>
      </x:c>
      <x:c r="AP21" s="5" t="n">
        <x:v>682.3</x:v>
      </x:c>
      <x:c r="AQ21" s="5" t="n">
        <x:v>152.1666666666667</x:v>
      </x:c>
      <x:c r="AR21" s="5" t="n">
        <x:v>36.1</x:v>
      </x:c>
      <x:c r="AS21" s="5" t="n">
        <x:v>1.966666666666667</x:v>
      </x:c>
      <x:c r="AT21" s="5" t="n">
        <x:v>1.933333333333333</x:v>
      </x:c>
      <x:c r="AU21" s="5" t="n">
        <x:v>0.4229466367515727</x:v>
      </x:c>
      <x:c r="AV21" s="5" t="n">
        <x:v>0.4502441599577668</x:v>
      </x:c>
      <x:c r="AW21" s="5" t="n">
        <x:v>0.1004135321807224</x:v>
      </x:c>
      <x:c r="AX21" s="5" t="n">
        <x:v>0.02382209317671902</x:v>
      </x:c>
      <x:c r="AY21" s="5" t="n">
        <x:v>0.001297787162905283</x:v>
      </x:c>
      <x:c r="AZ21" s="5" t="n">
        <x:v>0.001275790770313668</x:v>
      </x:c>
      <x:c r="BA21" s="5" t="n">
        <x:v>268.5</x:v>
      </x:c>
      <x:c r="BB21" s="5" t="n">
        <x:v>347.1</x:v>
      </x:c>
      <x:c r="BC21" s="5" t="n">
        <x:v>722.6666666666666</x:v>
      </x:c>
      <x:c r="BD21" s="5" t="n">
        <x:v>147.4666666666667</x:v>
      </x:c>
      <x:c r="BE21" s="5" t="n">
        <x:v>0.5333333333333333</x:v>
      </x:c>
      <x:c r="BF21" s="5" t="n">
        <x:v>29.13333333333333</x:v>
      </x:c>
      <x:c r="BG21" s="5" t="n">
        <x:v>0.1771809423254586</x:v>
      </x:c>
      <x:c r="BH21" s="5" t="n">
        <x:v>0.2290484360564867</x:v>
      </x:c>
      <x:c r="BI21" s="5" t="n">
        <x:v>0.4768817913862126</x:v>
      </x:c>
      <x:c r="BJ21" s="5" t="n">
        <x:v>0.09731204082530465</x:v>
      </x:c>
      <x:c r="BK21" s="5" t="n">
        <x:v>0.0003519422814658396</x:v>
      </x:c>
      <x:c r="BL21" s="5" t="n">
        <x:v>0.01922484712507149</x:v>
      </x:c>
    </x:row>
    <x:row r="22">
      <x:c r="A22" s="3" t="n">
        <x:v>10000839</x:v>
      </x:c>
      <x:c r="B22" s="6" t="n">
        <x:v>45197</x:v>
      </x:c>
      <x:c r="C22" s="5" t="n">
        <x:v>45540.4999999999</x:v>
      </x:c>
      <x:c r="D22" s="5" t="n">
        <x:v>26171.1999999999</x:v>
      </x:c>
      <x:c r="E22" s="5" t="n">
        <x:v>16975.5</x:v>
      </x:c>
      <x:c r="F22" s="5" t="n">
        <x:v>2393.8</x:v>
      </x:c>
      <x:c r="G22" s="3" t="n"/>
      <x:c r="H22" s="3" t="n"/>
      <x:c r="I22" s="3" t="n">
        <x:v>203847</x:v>
      </x:c>
      <x:c r="J22" s="5" t="n">
        <x:v>0.003625267970585782</x:v>
      </x:c>
      <x:c r="K22" s="5" t="n">
        <x:v>0.03294627833620313</x:v>
      </x:c>
      <x:c r="L22" s="5" t="n">
        <x:v>0.1335118986298547</x:v>
      </x:c>
      <x:c r="M22" s="5" t="n">
        <x:v>0.44214042885105</x:v>
      </x:c>
      <x:c r="N22" s="5" t="n">
        <x:v>0.2977478206694236</x:v>
      </x:c>
      <x:c r="O22" s="5" t="n">
        <x:v>0.09002830554288266</x:v>
      </x:c>
      <x:c r="P22" s="3" t="n">
        <x:v>53</x:v>
      </x:c>
      <x:c r="Q22" s="3" t="n">
        <x:v>6</x:v>
      </x:c>
      <x:c r="R22" s="3" t="n">
        <x:v>1</x:v>
      </x:c>
      <x:c r="S22" s="3" t="n">
        <x:v>30</x:v>
      </x:c>
      <x:c r="T22" s="3" t="n">
        <x:v>9</x:v>
      </x:c>
      <x:c r="U22" s="3" t="n">
        <x:v>6</x:v>
      </x:c>
      <x:c r="V22" s="3" t="n">
        <x:v>1</x:v>
      </x:c>
      <x:c r="W22" s="3" t="n">
        <x:v>0</x:v>
      </x:c>
      <x:c r="X22" s="3" t="n">
        <x:v>1</x:v>
      </x:c>
      <x:c r="Y22" s="3" t="n">
        <x:v>0</x:v>
      </x:c>
      <x:c r="Z22" s="3" t="n">
        <x:v>202309</x:v>
      </x:c>
      <x:c r="AA22" s="5" t="n">
        <x:v>1922.666666666667</x:v>
      </x:c>
      <x:c r="AB22" s="5" t="n">
        <x:v>1802.4</x:v>
      </x:c>
      <x:c r="AC22" s="5" t="n">
        <x:v>1173.6</x:v>
      </x:c>
      <x:c r="AD22" s="5" t="n">
        <x:v>1381.3</x:v>
      </x:c>
      <x:c r="AE22" s="5" t="n">
        <x:v>1129.6</x:v>
      </x:c>
      <x:c r="AF22" s="3" t="n">
        <x:v>1012</x:v>
      </x:c>
      <x:c r="AG22" s="5" t="n">
        <x:v>1443.233333333333</x:v>
      </x:c>
      <x:c r="AH22" s="5" t="n">
        <x:v>1769.266666666667</x:v>
      </x:c>
      <x:c r="AI22" s="5" t="n">
        <x:v>1777.433333333333</x:v>
      </x:c>
      <x:c r="AJ22" s="5" t="n">
        <x:v>1824.766666666667</x:v>
      </x:c>
      <x:c r="AK22" s="5" t="n">
        <x:v>2011.933333333333</x:v>
      </x:c>
      <x:c r="AL22" s="5" t="n">
        <x:v>2236.433333333333</x:v>
      </x:c>
      <x:c r="AM22" s="5" t="n">
        <x:v>2163.633333333333</x:v>
      </x:c>
      <x:c r="AN22" s="5" t="n">
        <x:v>1922.666666666667</x:v>
      </x:c>
      <x:c r="AO22" s="5" t="n">
        <x:v>1032.666666666667</x:v>
      </x:c>
      <x:c r="AP22" s="5" t="n">
        <x:v>736.7</x:v>
      </x:c>
      <x:c r="AQ22" s="5" t="n">
        <x:v>123.9</x:v>
      </x:c>
      <x:c r="AR22" s="5" t="n">
        <x:v>23.86666666666667</x:v>
      </x:c>
      <x:c r="AS22" s="5" t="n">
        <x:v>3.233333333333333</x:v>
      </x:c>
      <x:c r="AT22" s="5" t="n">
        <x:v>2.3</x:v>
      </x:c>
      <x:c r="AU22" s="5" t="n">
        <x:v>0.5371012482662968</x:v>
      </x:c>
      <x:c r="AV22" s="5" t="n">
        <x:v>0.3831657420249653</x:v>
      </x:c>
      <x:c r="AW22" s="5" t="n">
        <x:v>0.06444174757281554</x:v>
      </x:c>
      <x:c r="AX22" s="5" t="n">
        <x:v>0.01241331484049931</x:v>
      </x:c>
      <x:c r="AY22" s="5" t="n">
        <x:v>0.001681692094313454</x:v>
      </x:c>
      <x:c r="AZ22" s="5" t="n">
        <x:v>0.00119625520110957</x:v>
      </x:c>
      <x:c r="BA22" s="5" t="n">
        <x:v>849.9</x:v>
      </x:c>
      <x:c r="BB22" s="5" t="n">
        <x:v>549.3</x:v>
      </x:c>
      <x:c r="BC22" s="5" t="n">
        <x:v>428.1</x:v>
      </x:c>
      <x:c r="BD22" s="5" t="n">
        <x:v>73.2</x:v>
      </x:c>
      <x:c r="BE22" s="3" t="n">
        <x:v>0</x:v>
      </x:c>
      <x:c r="BF22" s="5" t="n">
        <x:v>22.16666666666667</x:v>
      </x:c>
      <x:c r="BG22" s="5" t="n">
        <x:v>0.4420423023578363</x:v>
      </x:c>
      <x:c r="BH22" s="5" t="n">
        <x:v>0.2856969486823855</x:v>
      </x:c>
      <x:c r="BI22" s="5" t="n">
        <x:v>0.2226595006934813</x:v>
      </x:c>
      <x:c r="BJ22" s="5" t="n">
        <x:v>0.03807212205270458</x:v>
      </x:c>
      <x:c r="BK22" s="3" t="n">
        <x:v>0</x:v>
      </x:c>
      <x:c r="BL22" s="5" t="n">
        <x:v>0.01152912621359223</x:v>
      </x:c>
    </x:row>
    <x:row r="23">
      <x:c r="A23" s="3" t="n">
        <x:v>10000843</x:v>
      </x:c>
      <x:c r="B23" s="6" t="n">
        <x:v>45197</x:v>
      </x:c>
      <x:c r="C23" s="5" t="n">
        <x:v>43239.8</x:v>
      </x:c>
      <x:c r="D23" s="5" t="n">
        <x:v>16947.1</x:v>
      </x:c>
      <x:c r="E23" s="5" t="n">
        <x:v>15395.3</x:v>
      </x:c>
      <x:c r="F23" s="5" t="n">
        <x:v>10897.4</x:v>
      </x:c>
      <x:c r="G23" s="3" t="n"/>
      <x:c r="H23" s="3" t="n"/>
      <x:c r="I23" s="3" t="n">
        <x:v>151102</x:v>
      </x:c>
      <x:c r="J23" s="5" t="n">
        <x:v>0.01316329366917711</x:v>
      </x:c>
      <x:c r="K23" s="5" t="n">
        <x:v>0.1049688290029252</x:v>
      </x:c>
      <x:c r="L23" s="5" t="n">
        <x:v>0.2748474540376699</x:v>
      </x:c>
      <x:c r="M23" s="5" t="n">
        <x:v>0.4226946036452198</x:v>
      </x:c>
      <x:c r="N23" s="5" t="n">
        <x:v>0.1187674550965573</x:v>
      </x:c>
      <x:c r="O23" s="5" t="n">
        <x:v>0.06555836454845071</x:v>
      </x:c>
      <x:c r="P23" s="3" t="n">
        <x:v>24</x:v>
      </x:c>
      <x:c r="Q23" s="3" t="n">
        <x:v>4</x:v>
      </x:c>
      <x:c r="R23" s="3" t="n">
        <x:v>0</x:v>
      </x:c>
      <x:c r="S23" s="3" t="n">
        <x:v>8</x:v>
      </x:c>
      <x:c r="T23" s="3" t="n">
        <x:v>3</x:v>
      </x:c>
      <x:c r="U23" s="3" t="n">
        <x:v>4</x:v>
      </x:c>
      <x:c r="V23" s="3" t="n">
        <x:v>5</x:v>
      </x:c>
      <x:c r="W23" s="3" t="n">
        <x:v>0</x:v>
      </x:c>
      <x:c r="X23" s="3" t="n">
        <x:v>2</x:v>
      </x:c>
      <x:c r="Y23" s="3" t="n">
        <x:v>0</x:v>
      </x:c>
      <x:c r="Z23" s="3" t="n">
        <x:v>202309</x:v>
      </x:c>
      <x:c r="AA23" s="5" t="n">
        <x:v>1358.766666666667</x:v>
      </x:c>
      <x:c r="AB23" s="5" t="n">
        <x:v>1392.3</x:v>
      </x:c>
      <x:c r="AC23" s="5" t="n">
        <x:v>944.4666666666667</x:v>
      </x:c>
      <x:c r="AD23" s="5" t="n">
        <x:v>922.0666666666667</x:v>
      </x:c>
      <x:c r="AE23" s="5" t="n">
        <x:v>882.1333333333333</x:v>
      </x:c>
      <x:c r="AF23" s="5" t="n">
        <x:v>831.1333333333333</x:v>
      </x:c>
      <x:c r="AG23" s="5" t="n">
        <x:v>1018.7</x:v>
      </x:c>
      <x:c r="AH23" s="5" t="n">
        <x:v>1278.233333333333</x:v>
      </x:c>
      <x:c r="AI23" s="5" t="n">
        <x:v>1114.1</x:v>
      </x:c>
      <x:c r="AJ23" s="5" t="n">
        <x:v>1217.166666666667</x:v>
      </x:c>
      <x:c r="AK23" s="5" t="n">
        <x:v>1466.566666666667</x:v>
      </x:c>
      <x:c r="AL23" s="5" t="n">
        <x:v>1609.466666666667</x:v>
      </x:c>
      <x:c r="AM23" s="5" t="n">
        <x:v>1582.933333333333</x:v>
      </x:c>
      <x:c r="AN23" s="5" t="n">
        <x:v>1358.766666666667</x:v>
      </x:c>
      <x:c r="AO23" s="5" t="n">
        <x:v>388.2666666666667</x:v>
      </x:c>
      <x:c r="AP23" s="5" t="n">
        <x:v>687.2</x:v>
      </x:c>
      <x:c r="AQ23" s="5" t="n">
        <x:v>222.0666666666667</x:v>
      </x:c>
      <x:c r="AR23" s="5" t="n">
        <x:v>54.6</x:v>
      </x:c>
      <x:c r="AS23" s="5" t="n">
        <x:v>4.4</x:v>
      </x:c>
      <x:c r="AT23" s="5" t="n">
        <x:v>2.233333333333333</x:v>
      </x:c>
      <x:c r="AU23" s="5" t="n">
        <x:v>0.2857493315016069</x:v>
      </x:c>
      <x:c r="AV23" s="5" t="n">
        <x:v>0.5057527659887644</x:v>
      </x:c>
      <x:c r="AW23" s="5" t="n">
        <x:v>0.1634325245933813</x:v>
      </x:c>
      <x:c r="AX23" s="5" t="n">
        <x:v>0.04018349974241346</x:v>
      </x:c>
      <x:c r="AY23" s="5" t="n">
        <x:v>0.00323823074847288</x:v>
      </x:c>
      <x:c r="AZ23" s="5" t="n">
        <x:v>0.001643647425361235</x:v>
      </x:c>
      <x:c r="BA23" s="5" t="n">
        <x:v>370.1666666666667</x:v>
      </x:c>
      <x:c r="BB23" s="5" t="n">
        <x:v>171.5</x:v>
      </x:c>
      <x:c r="BC23" s="5" t="n">
        <x:v>384.4333333333333</x:v>
      </x:c>
      <x:c r="BD23" s="5" t="n">
        <x:v>395.4666666666666</x:v>
      </x:c>
      <x:c r="BE23" s="5" t="n">
        <x:v>15.36666666666667</x:v>
      </x:c>
      <x:c r="BF23" s="5" t="n">
        <x:v>21.83333333333333</x:v>
      </x:c>
      <x:c r="BG23" s="5" t="n">
        <x:v>0.2724284277408434</x:v>
      </x:c>
      <x:c r="BH23" s="5" t="n">
        <x:v>0.1262174030370679</x:v>
      </x:c>
      <x:c r="BI23" s="5" t="n">
        <x:v>0.2829281456222555</x:v>
      </x:c>
      <x:c r="BJ23" s="5" t="n">
        <x:v>0.2910482545445625</x:v>
      </x:c>
      <x:c r="BK23" s="5" t="n">
        <x:v>0.01130927556853029</x:v>
      </x:c>
      <x:c r="BL23" s="5" t="n">
        <x:v>0.01606849348674043</x:v>
      </x:c>
    </x:row>
    <x:row r="24">
      <x:c r="A24" s="3" t="n">
        <x:v>10000849</x:v>
      </x:c>
      <x:c r="B24" s="6" t="n">
        <x:v>45197</x:v>
      </x:c>
      <x:c r="C24" s="5" t="n">
        <x:v>57732.6999999999</x:v>
      </x:c>
      <x:c r="D24" s="5" t="n">
        <x:v>26922.1999999999</x:v>
      </x:c>
      <x:c r="E24" s="5" t="n">
        <x:v>21488.5</x:v>
      </x:c>
      <x:c r="F24" s="3" t="n">
        <x:v>8020</x:v>
      </x:c>
      <x:c r="G24" s="3" t="n">
        <x:v>1302</x:v>
      </x:c>
      <x:c r="H24" s="3" t="n"/>
      <x:c r="I24" s="3" t="n">
        <x:v>136719</x:v>
      </x:c>
      <x:c r="J24" s="5" t="n">
        <x:v>0.005383304441957592</x:v>
      </x:c>
      <x:c r="K24" s="5" t="n">
        <x:v>0.04252517938252913</x:v>
      </x:c>
      <x:c r="L24" s="5" t="n">
        <x:v>0.1548358311573373</x:v>
      </x:c>
      <x:c r="M24" s="5" t="n">
        <x:v>0.4806208354361866</x:v>
      </x:c>
      <x:c r="N24" s="5" t="n">
        <x:v>0.2510623980573293</x:v>
      </x:c>
      <x:c r="O24" s="5" t="n">
        <x:v>0.06557245152466007</x:v>
      </x:c>
      <x:c r="P24" s="3" t="n">
        <x:v>28</x:v>
      </x:c>
      <x:c r="Q24" s="3" t="n">
        <x:v>3</x:v>
      </x:c>
      <x:c r="R24" s="3" t="n">
        <x:v>2</x:v>
      </x:c>
      <x:c r="S24" s="3" t="n">
        <x:v>13</x:v>
      </x:c>
      <x:c r="T24" s="3" t="n">
        <x:v>4</x:v>
      </x:c>
      <x:c r="U24" s="3" t="n">
        <x:v>1</x:v>
      </x:c>
      <x:c r="V24" s="3" t="n">
        <x:v>5</x:v>
      </x:c>
      <x:c r="W24" s="3" t="n">
        <x:v>1</x:v>
      </x:c>
      <x:c r="X24" s="3" t="n">
        <x:v>1</x:v>
      </x:c>
      <x:c r="Y24" s="3" t="n">
        <x:v>0</x:v>
      </x:c>
      <x:c r="Z24" s="3" t="n">
        <x:v>202309</x:v>
      </x:c>
      <x:c r="AA24" s="5" t="n">
        <x:v>2225.633333333333</x:v>
      </x:c>
      <x:c r="AB24" s="5" t="n">
        <x:v>2124.866666666667</x:v>
      </x:c>
      <x:c r="AC24" s="5" t="n">
        <x:v>1539.366666666667</x:v>
      </x:c>
      <x:c r="AD24" s="5" t="n">
        <x:v>1594.333333333333</x:v>
      </x:c>
      <x:c r="AE24" s="5" t="n">
        <x:v>1510.6</x:v>
      </x:c>
      <x:c r="AF24" s="5" t="n">
        <x:v>1402.433333333333</x:v>
      </x:c>
      <x:c r="AG24" s="3" t="n">
        <x:v>1712</x:v>
      </x:c>
      <x:c r="AH24" s="5" t="n">
        <x:v>1881.2</x:v>
      </x:c>
      <x:c r="AI24" s="5" t="n">
        <x:v>1911.166666666667</x:v>
      </x:c>
      <x:c r="AJ24" s="5" t="n">
        <x:v>2104.066666666667</x:v>
      </x:c>
      <x:c r="AK24" s="5" t="n">
        <x:v>2438.8</x:v>
      </x:c>
      <x:c r="AL24" s="5" t="n">
        <x:v>2677.7</x:v>
      </x:c>
      <x:c r="AM24" s="5" t="n">
        <x:v>2604.066666666667</x:v>
      </x:c>
      <x:c r="AN24" s="5" t="n">
        <x:v>2225.633333333333</x:v>
      </x:c>
      <x:c r="AO24" s="5" t="n">
        <x:v>918.4666666666667</x:v>
      </x:c>
      <x:c r="AP24" s="5" t="n">
        <x:v>1036.366666666667</x:v>
      </x:c>
      <x:c r="AQ24" s="5" t="n">
        <x:v>221.6666666666667</x:v>
      </x:c>
      <x:c r="AR24" s="5" t="n">
        <x:v>43.2</x:v>
      </x:c>
      <x:c r="AS24" s="5" t="n">
        <x:v>3.133333333333333</x:v>
      </x:c>
      <x:c r="AT24" s="5" t="n">
        <x:v>2.8</x:v>
      </x:c>
      <x:c r="AU24" s="5" t="n">
        <x:v>0.4126765415087841</x:v>
      </x:c>
      <x:c r="AV24" s="5" t="n">
        <x:v>0.4656502269017059</x:v>
      </x:c>
      <x:c r="AW24" s="5" t="n">
        <x:v>0.09959711842322036</x:v>
      </x:c>
      <x:c r="AX24" s="5" t="n">
        <x:v>0.01941020533481107</x:v>
      </x:c>
      <x:c r="AY24" s="5" t="n">
        <x:v>0.00140783896718537</x:v>
      </x:c>
      <x:c r="AZ24" s="5" t="n">
        <x:v>0.00125806886429331</x:v>
      </x:c>
      <x:c r="BA24" s="5" t="n">
        <x:v>1028.1</x:v>
      </x:c>
      <x:c r="BB24" s="3" t="n">
        <x:v>529</x:v>
      </x:c>
      <x:c r="BC24" s="5" t="n">
        <x:v>446.8</x:v>
      </x:c>
      <x:c r="BD24" s="5" t="n">
        <x:v>171.3666666666667</x:v>
      </x:c>
      <x:c r="BE24" s="5" t="n">
        <x:v>27.16666666666667</x:v>
      </x:c>
      <x:c r="BF24" s="5" t="n">
        <x:v>23.2</x:v>
      </x:c>
      <x:c r="BG24" s="5" t="n">
        <x:v>0.4619359283499828</x:v>
      </x:c>
      <x:c r="BH24" s="5" t="n">
        <x:v>0.2376851532897003</x:v>
      </x:c>
      <x:c r="BI24" s="5" t="n">
        <x:v>0.2007518459165182</x:v>
      </x:c>
      <x:c r="BJ24" s="5" t="n">
        <x:v>0.0769968098968084</x:v>
      </x:c>
      <x:c r="BK24" s="5" t="n">
        <x:v>0.01220626338570295</x:v>
      </x:c>
      <x:c r="BL24" s="5" t="n">
        <x:v>0.01042399916128742</x:v>
      </x:c>
    </x:row>
    <x:row r="25">
      <x:c r="A25" s="3" t="n">
        <x:v>10000861</x:v>
      </x:c>
      <x:c r="B25" s="6" t="n">
        <x:v>45221</x:v>
      </x:c>
      <x:c r="C25" s="3" t="n">
        <x:v>63907</x:v>
      </x:c>
      <x:c r="D25" s="5" t="n">
        <x:v>36421.5</x:v>
      </x:c>
      <x:c r="E25" s="3" t="n">
        <x:v>15309</x:v>
      </x:c>
      <x:c r="F25" s="5" t="n">
        <x:v>12176.5</x:v>
      </x:c>
      <x:c r="G25" s="3" t="n"/>
      <x:c r="H25" s="3" t="n"/>
      <x:c r="I25" s="3" t="n">
        <x:v>218130</x:v>
      </x:c>
      <x:c r="J25" s="5" t="n">
        <x:v>0.003053225140970981</x:v>
      </x:c>
      <x:c r="K25" s="5" t="n">
        <x:v>0.02507220464860404</x:v>
      </x:c>
      <x:c r="L25" s="5" t="n">
        <x:v>0.1069866593315913</x:v>
      </x:c>
      <x:c r="M25" s="5" t="n">
        <x:v>0.4400678494475772</x:v>
      </x:c>
      <x:c r="N25" s="5" t="n">
        <x:v>0.3571769128501353</x:v>
      </x:c>
      <x:c r="O25" s="5" t="n">
        <x:v>0.06764314858112135</x:v>
      </x:c>
      <x:c r="P25" s="3" t="n">
        <x:v>51</x:v>
      </x:c>
      <x:c r="Q25" s="3" t="n">
        <x:v>5</x:v>
      </x:c>
      <x:c r="R25" s="3" t="n">
        <x:v>1</x:v>
      </x:c>
      <x:c r="S25" s="3" t="n">
        <x:v>33</x:v>
      </x:c>
      <x:c r="T25" s="3" t="n">
        <x:v>2</x:v>
      </x:c>
      <x:c r="U25" s="3" t="n">
        <x:v>3</x:v>
      </x:c>
      <x:c r="V25" s="3" t="n">
        <x:v>7</x:v>
      </x:c>
      <x:c r="W25" s="3" t="n">
        <x:v>0</x:v>
      </x:c>
      <x:c r="X25" s="3" t="n">
        <x:v>2</x:v>
      </x:c>
      <x:c r="Y25" s="3" t="n">
        <x:v>0</x:v>
      </x:c>
      <x:c r="Z25" s="3" t="n">
        <x:v>202310</x:v>
      </x:c>
      <x:c r="AA25" s="5" t="n">
        <x:v>2297.566666666667</x:v>
      </x:c>
      <x:c r="AB25" s="5" t="n">
        <x:v>2138.166666666667</x:v>
      </x:c>
      <x:c r="AC25" s="5" t="n">
        <x:v>1380.9</x:v>
      </x:c>
      <x:c r="AD25" s="5" t="n">
        <x:v>1385.233333333333</x:v>
      </x:c>
      <x:c r="AE25" s="5" t="n">
        <x:v>1189.566666666667</x:v>
      </x:c>
      <x:c r="AF25" s="5" t="n">
        <x:v>1500.533333333333</x:v>
      </x:c>
      <x:c r="AG25" s="5" t="n">
        <x:v>1745.466666666667</x:v>
      </x:c>
      <x:c r="AH25" s="5" t="n">
        <x:v>1763.333333333333</x:v>
      </x:c>
      <x:c r="AI25" s="5" t="n">
        <x:v>1915.666666666667</x:v>
      </x:c>
      <x:c r="AJ25" s="3" t="n">
        <x:v>2270</x:v>
      </x:c>
      <x:c r="AK25" s="5" t="n">
        <x:v>2555.466666666667</x:v>
      </x:c>
      <x:c r="AL25" s="3" t="n">
        <x:v>2629</x:v>
      </x:c>
      <x:c r="AM25" s="5" t="n">
        <x:v>2300.933333333333</x:v>
      </x:c>
      <x:c r="AN25" s="5" t="n">
        <x:v>2297.566666666667</x:v>
      </x:c>
      <x:c r="AO25" s="5" t="n">
        <x:v>1258.233333333333</x:v>
      </x:c>
      <x:c r="AP25" s="5" t="n">
        <x:v>880.8333333333334</x:v>
      </x:c>
      <x:c r="AQ25" s="5" t="n">
        <x:v>131.4333333333333</x:v>
      </x:c>
      <x:c r="AR25" s="3" t="n">
        <x:v>22</x:v>
      </x:c>
      <x:c r="AS25" s="5" t="n">
        <x:v>2.266666666666667</x:v>
      </x:c>
      <x:c r="AT25" s="5" t="n">
        <x:v>2.8</x:v>
      </x:c>
      <x:c r="AU25" s="5" t="n">
        <x:v>0.5476373554630262</x:v>
      </x:c>
      <x:c r="AV25" s="5" t="n">
        <x:v>0.3833766158399466</x:v>
      </x:c>
      <x:c r="AW25" s="5" t="n">
        <x:v>0.05720544924340244</x:v>
      </x:c>
      <x:c r="AX25" s="5" t="n">
        <x:v>0.009575347831764041</x:v>
      </x:c>
      <x:c r="AY25" s="5" t="n">
        <x:v>0.0009865509887272042</x:v>
      </x:c>
      <x:c r="AZ25" s="5" t="n">
        <x:v>0.001218680633133605</x:v>
      </x:c>
      <x:c r="BA25" s="5" t="n">
        <x:v>866.6666666666666</x:v>
      </x:c>
      <x:c r="BB25" s="5" t="n">
        <x:v>626.5666666666667</x:v>
      </x:c>
      <x:c r="BC25" s="5" t="n">
        <x:v>456.3</x:v>
      </x:c>
      <x:c r="BD25" s="5" t="n">
        <x:v>311.6</x:v>
      </x:c>
      <x:c r="BE25" s="5" t="n">
        <x:v>3.3</x:v>
      </x:c>
      <x:c r="BF25" s="5" t="n">
        <x:v>33.13333333333333</x:v>
      </x:c>
      <x:c r="BG25" s="5" t="n">
        <x:v>0.3772106721604016</x:v>
      </x:c>
      <x:c r="BH25" s="5" t="n">
        <x:v>0.272708807869195</x:v>
      </x:c>
      <x:c r="BI25" s="5" t="n">
        <x:v>0.1986014188924514</x:v>
      </x:c>
      <x:c r="BJ25" s="5" t="n">
        <x:v>0.1356217447444398</x:v>
      </x:c>
      <x:c r="BK25" s="5" t="n">
        <x:v>0.001436302174764606</x:v>
      </x:c>
      <x:c r="BL25" s="5" t="n">
        <x:v>0.01442105415874766</x:v>
      </x:c>
    </x:row>
    <x:row r="26">
      <x:c r="A26" s="3" t="n">
        <x:v>10000867</x:v>
      </x:c>
      <x:c r="B26" s="6" t="n">
        <x:v>45226</x:v>
      </x:c>
      <x:c r="C26" s="5" t="n">
        <x:v>46744.39999999999</x:v>
      </x:c>
      <x:c r="D26" s="5" t="n">
        <x:v>31643.6</x:v>
      </x:c>
      <x:c r="E26" s="5" t="n">
        <x:v>11886.8</x:v>
      </x:c>
      <x:c r="F26" s="3" t="n">
        <x:v>3214</x:v>
      </x:c>
      <x:c r="G26" s="3" t="n"/>
      <x:c r="H26" s="3" t="n"/>
      <x:c r="I26" s="3" t="n">
        <x:v>147740</x:v>
      </x:c>
      <x:c r="J26" s="5" t="n">
        <x:v>0.00450791931772032</x:v>
      </x:c>
      <x:c r="K26" s="5" t="n">
        <x:v>0.03796534452416407</x:v>
      </x:c>
      <x:c r="L26" s="5" t="n">
        <x:v>0.1371057262758901</x:v>
      </x:c>
      <x:c r="M26" s="5" t="n">
        <x:v>0.4391566265060241</x:v>
      </x:c>
      <x:c r="N26" s="5" t="n">
        <x:v>0.2912819818600244</x:v>
      </x:c>
      <x:c r="O26" s="5" t="n">
        <x:v>0.08998240151617706</x:v>
      </x:c>
      <x:c r="P26" s="3" t="n">
        <x:v>35</x:v>
      </x:c>
      <x:c r="Q26" s="3" t="n">
        <x:v>1</x:v>
      </x:c>
      <x:c r="R26" s="3" t="n">
        <x:v>0</x:v>
      </x:c>
      <x:c r="S26" s="3" t="n">
        <x:v>23</x:v>
      </x:c>
      <x:c r="T26" s="3" t="n">
        <x:v>4</x:v>
      </x:c>
      <x:c r="U26" s="3" t="n">
        <x:v>4</x:v>
      </x:c>
      <x:c r="V26" s="3" t="n">
        <x:v>3</x:v>
      </x:c>
      <x:c r="W26" s="3" t="n">
        <x:v>0</x:v>
      </x:c>
      <x:c r="X26" s="3" t="n">
        <x:v>0</x:v>
      </x:c>
      <x:c r="Y26" s="3" t="n">
        <x:v>0</x:v>
      </x:c>
      <x:c r="Z26" s="3" t="n">
        <x:v>202310</x:v>
      </x:c>
      <x:c r="AA26" s="5" t="n">
        <x:v>1332.3</x:v>
      </x:c>
      <x:c r="AB26" s="5" t="n">
        <x:v>1700.8</x:v>
      </x:c>
      <x:c r="AC26" s="5" t="n">
        <x:v>928.9333333333333</x:v>
      </x:c>
      <x:c r="AD26" s="5" t="n">
        <x:v>886.7</x:v>
      </x:c>
      <x:c r="AE26" s="5" t="n">
        <x:v>810.9333333333333</x:v>
      </x:c>
      <x:c r="AF26" s="5" t="n">
        <x:v>967.5333333333333</x:v>
      </x:c>
      <x:c r="AG26" s="5" t="n">
        <x:v>986.1666666666666</x:v>
      </x:c>
      <x:c r="AH26" s="5" t="n">
        <x:v>986.4666666666667</x:v>
      </x:c>
      <x:c r="AI26" s="5" t="n">
        <x:v>1145.2</x:v>
      </x:c>
      <x:c r="AJ26" s="5" t="n">
        <x:v>1393.866666666667</x:v>
      </x:c>
      <x:c r="AK26" s="5" t="n">
        <x:v>1510.133333333333</x:v>
      </x:c>
      <x:c r="AL26" s="3" t="n">
        <x:v>1464</x:v>
      </x:c>
      <x:c r="AM26" s="5" t="n">
        <x:v>1329.866666666667</x:v>
      </x:c>
      <x:c r="AN26" s="5" t="n">
        <x:v>1332.3</x:v>
      </x:c>
      <x:c r="AO26" s="5" t="n">
        <x:v>603.3666666666667</x:v>
      </x:c>
      <x:c r="AP26" s="3" t="n">
        <x:v>588</x:v>
      </x:c>
      <x:c r="AQ26" s="5" t="n">
        <x:v>115.1666666666667</x:v>
      </x:c>
      <x:c r="AR26" s="5" t="n">
        <x:v>19.66666666666667</x:v>
      </x:c>
      <x:c r="AS26" s="5" t="n">
        <x:v>1.8</x:v>
      </x:c>
      <x:c r="AT26" s="5" t="n">
        <x:v>4.3</x:v>
      </x:c>
      <x:c r="AU26" s="5" t="n">
        <x:v>0.4528759788836348</x:v>
      </x:c>
      <x:c r="AV26" s="5" t="n">
        <x:v>0.4413420400810628</x:v>
      </x:c>
      <x:c r="AW26" s="5" t="n">
        <x:v>0.08644199254422177</x:v>
      </x:c>
      <x:c r="AX26" s="5" t="n">
        <x:v>0.01476144011608997</x:v>
      </x:c>
      <x:c r="AY26" s="5" t="n">
        <x:v>0.001351047061472641</x:v>
      </x:c>
      <x:c r="AZ26" s="5" t="n">
        <x:v>0.003227501313517977</x:v>
      </x:c>
      <x:c r="BA26" s="5" t="n">
        <x:v>625.8</x:v>
      </x:c>
      <x:c r="BB26" s="5" t="n">
        <x:v>376.6666666666667</x:v>
      </x:c>
      <x:c r="BC26" s="5" t="n">
        <x:v>228.3</x:v>
      </x:c>
      <x:c r="BD26" s="5" t="n">
        <x:v>77.83333333333333</x:v>
      </x:c>
      <x:c r="BE26" s="3" t="n">
        <x:v>1</x:v>
      </x:c>
      <x:c r="BF26" s="5" t="n">
        <x:v>22.7</x:v>
      </x:c>
      <x:c r="BG26" s="5" t="n">
        <x:v>0.4697140283719883</x:v>
      </x:c>
      <x:c r="BH26" s="5" t="n">
        <x:v>0.2827191073081639</x:v>
      </x:c>
      <x:c r="BI26" s="5" t="n">
        <x:v>0.17135780229678</x:v>
      </x:c>
      <x:c r="BJ26" s="5" t="n">
        <x:v>0.0584202757136781</x:v>
      </x:c>
      <x:c r="BK26" s="5" t="n">
        <x:v>0.0007505817008181341</x:v>
      </x:c>
      <x:c r="BL26" s="5" t="n">
        <x:v>0.01703820460857164</x:v>
      </x:c>
    </x:row>
    <x:row r="27">
      <x:c r="A27" s="3" t="n">
        <x:v>10000868</x:v>
      </x:c>
      <x:c r="B27" s="6" t="n">
        <x:v>45240</x:v>
      </x:c>
      <x:c r="C27" s="5" t="n">
        <x:v>47778.6</x:v>
      </x:c>
      <x:c r="D27" s="5" t="n">
        <x:v>26378.3</x:v>
      </x:c>
      <x:c r="E27" s="5" t="n">
        <x:v>14741.2</x:v>
      </x:c>
      <x:c r="F27" s="5" t="n">
        <x:v>6659.1</x:v>
      </x:c>
      <x:c r="G27" s="3" t="n"/>
      <x:c r="H27" s="3" t="n"/>
      <x:c r="I27" s="3" t="n">
        <x:v>113580</x:v>
      </x:c>
      <x:c r="J27" s="5" t="n">
        <x:v>0.002702940658566649</x:v>
      </x:c>
      <x:c r="K27" s="5" t="n">
        <x:v>0.02729353759464695</x:v>
      </x:c>
      <x:c r="L27" s="5" t="n">
        <x:v>0.1257703821095263</x:v>
      </x:c>
      <x:c r="M27" s="5" t="n">
        <x:v>0.4809033280507132</x:v>
      </x:c>
      <x:c r="N27" s="5" t="n">
        <x:v>0.2869783412572636</x:v>
      </x:c>
      <x:c r="O27" s="5" t="n">
        <x:v>0.07635147032928333</x:v>
      </x:c>
      <x:c r="P27" s="3" t="n">
        <x:v>30</x:v>
      </x:c>
      <x:c r="Q27" s="3" t="n">
        <x:v>5</x:v>
      </x:c>
      <x:c r="R27" s="3" t="n">
        <x:v>2</x:v>
      </x:c>
      <x:c r="S27" s="3" t="n">
        <x:v>11</x:v>
      </x:c>
      <x:c r="T27" s="3" t="n">
        <x:v>4</x:v>
      </x:c>
      <x:c r="U27" s="3" t="n">
        <x:v>5</x:v>
      </x:c>
      <x:c r="V27" s="3" t="n">
        <x:v>3</x:v>
      </x:c>
      <x:c r="W27" s="3" t="n">
        <x:v>0</x:v>
      </x:c>
      <x:c r="X27" s="3" t="n">
        <x:v>3</x:v>
      </x:c>
      <x:c r="Y27" s="3" t="n">
        <x:v>0</x:v>
      </x:c>
      <x:c r="Z27" s="3" t="n">
        <x:v>202311</x:v>
      </x:c>
      <x:c r="AA27" s="5" t="n">
        <x:v>1252.5</x:v>
      </x:c>
      <x:c r="AB27" s="5" t="n">
        <x:v>1611.166666666667</x:v>
      </x:c>
      <x:c r="AC27" s="5" t="n">
        <x:v>905.4666666666667</x:v>
      </x:c>
      <x:c r="AD27" s="5" t="n">
        <x:v>852.9</x:v>
      </x:c>
      <x:c r="AE27" s="5" t="n">
        <x:v>900.7</x:v>
      </x:c>
      <x:c r="AF27" s="5" t="n">
        <x:v>1162.1</x:v>
      </x:c>
      <x:c r="AG27" s="5" t="n">
        <x:v>1183.766666666667</x:v>
      </x:c>
      <x:c r="AH27" s="5" t="n">
        <x:v>1178.533333333333</x:v>
      </x:c>
      <x:c r="AI27" s="5" t="n">
        <x:v>1294.8</x:v>
      </x:c>
      <x:c r="AJ27" s="5" t="n">
        <x:v>1501.766666666667</x:v>
      </x:c>
      <x:c r="AK27" s="5" t="n">
        <x:v>1434.1</x:v>
      </x:c>
      <x:c r="AL27" s="5" t="n">
        <x:v>1365.1</x:v>
      </x:c>
      <x:c r="AM27" s="5" t="n">
        <x:v>1323.533333333333</x:v>
      </x:c>
      <x:c r="AN27" s="5" t="n">
        <x:v>1252.5</x:v>
      </x:c>
      <x:c r="AO27" s="5" t="n">
        <x:v>571.4333333333333</x:v>
      </x:c>
      <x:c r="AP27" s="5" t="n">
        <x:v>571.6333333333333</x:v>
      </x:c>
      <x:c r="AQ27" s="5" t="n">
        <x:v>94.53333333333333</x:v>
      </x:c>
      <x:c r="AR27" s="5" t="n">
        <x:v>13.43333333333333</x:v>
      </x:c>
      <x:c r="AS27" s="5" t="n">
        <x:v>0.7333333333333333</x:v>
      </x:c>
      <x:c r="AT27" s="5" t="n">
        <x:v>0.7333333333333333</x:v>
      </x:c>
      <x:c r="AU27" s="5" t="n">
        <x:v>0.4562341982701263</x:v>
      </x:c>
      <x:c r="AV27" s="5" t="n">
        <x:v>0.456393878908849</x:v>
      </x:c>
      <x:c r="AW27" s="5" t="n">
        <x:v>0.07547571523619427</x:v>
      </x:c>
      <x:c r="AX27" s="5" t="n">
        <x:v>0.01072521623419827</x:v>
      </x:c>
      <x:c r="AY27" s="5" t="n">
        <x:v>0.0005854956753160345</x:v>
      </x:c>
      <x:c r="AZ27" s="5" t="n">
        <x:v>0.0005854956753160345</x:v>
      </x:c>
      <x:c r="BA27" s="5" t="n">
        <x:v>598.6333333333333</x:v>
      </x:c>
      <x:c r="BB27" s="5" t="n">
        <x:v>256.3</x:v>
      </x:c>
      <x:c r="BC27" s="5" t="n">
        <x:v>189.4333333333333</x:v>
      </x:c>
      <x:c r="BD27" s="5" t="n">
        <x:v>192.2666666666667</x:v>
      </x:c>
      <x:c r="BE27" s="5" t="n">
        <x:v>1.3</x:v>
      </x:c>
      <x:c r="BF27" s="5" t="n">
        <x:v>14.56666666666667</x:v>
      </x:c>
      <x:c r="BG27" s="5" t="n">
        <x:v>0.4779507651363939</x:v>
      </x:c>
      <x:c r="BH27" s="5" t="n">
        <x:v>0.2046307385229541</x:v>
      </x:c>
      <x:c r="BI27" s="5" t="n">
        <x:v>0.1512441783100466</x:v>
      </x:c>
      <x:c r="BJ27" s="5" t="n">
        <x:v>0.1535063206919494</x:v>
      </x:c>
      <x:c r="BK27" s="5" t="n">
        <x:v>0.001037924151696607</x:v>
      </x:c>
      <x:c r="BL27" s="5" t="n">
        <x:v>0.01163007318695941</x:v>
      </x:c>
    </x:row>
    <x:row r="28">
      <x:c r="A28" s="3" t="n">
        <x:v>10000869</x:v>
      </x:c>
      <x:c r="B28" s="6" t="n">
        <x:v>45348</x:v>
      </x:c>
      <x:c r="C28" s="5" t="n">
        <x:v>42015.1</x:v>
      </x:c>
      <x:c r="D28" s="5" t="n">
        <x:v>17951.8</x:v>
      </x:c>
      <x:c r="E28" s="5" t="n">
        <x:v>8251.299999999999</x:v>
      </x:c>
      <x:c r="F28" s="3" t="n">
        <x:v>14684</x:v>
      </x:c>
      <x:c r="G28" s="3" t="n">
        <x:v>1128</x:v>
      </x:c>
      <x:c r="H28" s="3" t="n"/>
      <x:c r="I28" s="3" t="n">
        <x:v>120458</x:v>
      </x:c>
      <x:c r="J28" s="5" t="n">
        <x:v>0.006566604127579738</x:v>
      </x:c>
      <x:c r="K28" s="5" t="n">
        <x:v>0.05717345464809311</x:v>
      </x:c>
      <x:c r="L28" s="5" t="n">
        <x:v>0.1843215062511415</x:v>
      </x:c>
      <x:c r="M28" s="5" t="n">
        <x:v>0.4493765461820717</x:v>
      </x:c>
      <x:c r="N28" s="5" t="n">
        <x:v>0.2328778495409188</x:v>
      </x:c>
      <x:c r="O28" s="5" t="n">
        <x:v>0.06968403925019509</x:v>
      </x:c>
      <x:c r="P28" s="3" t="n">
        <x:v>12</x:v>
      </x:c>
      <x:c r="Q28" s="3" t="n">
        <x:v>2</x:v>
      </x:c>
      <x:c r="R28" s="3" t="n">
        <x:v>0</x:v>
      </x:c>
      <x:c r="S28" s="3" t="n">
        <x:v>8</x:v>
      </x:c>
      <x:c r="T28" s="3" t="n">
        <x:v>2</x:v>
      </x:c>
      <x:c r="U28" s="3" t="n">
        <x:v>0</x:v>
      </x:c>
      <x:c r="V28" s="3" t="n">
        <x:v>0</x:v>
      </x:c>
      <x:c r="W28" s="3" t="n">
        <x:v>0</x:v>
      </x:c>
      <x:c r="X28" s="3" t="n">
        <x:v>1</x:v>
      </x:c>
      <x:c r="Y28" s="3" t="n">
        <x:v>0</x:v>
      </x:c>
      <x:c r="Z28" s="3" t="n">
        <x:v>202402</x:v>
      </x:c>
      <x:c r="AA28" s="5" t="n">
        <x:v>1540.166666666667</x:v>
      </x:c>
      <x:c r="AB28" s="5" t="n">
        <x:v>1428.866666666667</x:v>
      </x:c>
      <x:c r="AC28" s="5" t="n">
        <x:v>934.4666666666667</x:v>
      </x:c>
      <x:c r="AD28" s="5" t="n">
        <x:v>906.9333333333333</x:v>
      </x:c>
      <x:c r="AE28" s="5" t="n">
        <x:v>1029.733333333333</x:v>
      </x:c>
      <x:c r="AF28" s="5" t="n">
        <x:v>1346.133333333333</x:v>
      </x:c>
      <x:c r="AG28" s="5" t="n">
        <x:v>1501.066666666667</x:v>
      </x:c>
      <x:c r="AH28" s="5" t="n">
        <x:v>1622.866666666667</x:v>
      </x:c>
      <x:c r="AI28" s="5" t="n">
        <x:v>1338.133333333333</x:v>
      </x:c>
      <x:c r="AJ28" s="5" t="n">
        <x:v>1334.133333333333</x:v>
      </x:c>
      <x:c r="AK28" s="5" t="n">
        <x:v>1359.133333333333</x:v>
      </x:c>
      <x:c r="AL28" s="5" t="n">
        <x:v>1370.466666666667</x:v>
      </x:c>
      <x:c r="AM28" s="5" t="n">
        <x:v>1309.133333333333</x:v>
      </x:c>
      <x:c r="AN28" s="5" t="n">
        <x:v>1540.166666666667</x:v>
      </x:c>
      <x:c r="AO28" s="3" t="n">
        <x:v>624</x:v>
      </x:c>
      <x:c r="AP28" s="5" t="n">
        <x:v>714.6</x:v>
      </x:c>
      <x:c r="AQ28" s="5" t="n">
        <x:v>160.3</x:v>
      </x:c>
      <x:c r="AR28" s="5" t="n">
        <x:v>36.76666666666667</x:v>
      </x:c>
      <x:c r="AS28" s="5" t="n">
        <x:v>3.4</x:v>
      </x:c>
      <x:c r="AT28" s="5" t="n">
        <x:v>1.1</x:v>
      </x:c>
      <x:c r="AU28" s="5" t="n">
        <x:v>0.4051509576885618</x:v>
      </x:c>
      <x:c r="AV28" s="5" t="n">
        <x:v>0.4639757601991126</x:v>
      </x:c>
      <x:c r="AW28" s="5" t="n">
        <x:v>0.1040796450600584</x:v>
      </x:c>
      <x:c r="AX28" s="5" t="n">
        <x:v>0.02387187533816686</x:v>
      </x:c>
      <x:c r="AY28" s="5" t="n">
        <x:v>0.002207553295097933</x:v>
      </x:c>
      <x:c r="AZ28" s="5" t="n">
        <x:v>0.0007142084190022725</x:v>
      </x:c>
      <x:c r="BA28" s="5" t="n">
        <x:v>406.6</x:v>
      </x:c>
      <x:c r="BB28" s="5" t="n">
        <x:v>244.7333333333333</x:v>
      </x:c>
      <x:c r="BC28" s="5" t="n">
        <x:v>371.5666666666667</x:v>
      </x:c>
      <x:c r="BD28" s="5" t="n">
        <x:v>483.0333333333334</x:v>
      </x:c>
      <x:c r="BE28" s="5" t="n">
        <x:v>3.866666666666667</x:v>
      </x:c>
      <x:c r="BF28" s="5" t="n">
        <x:v>30.36666666666667</x:v>
      </x:c>
      <x:c r="BG28" s="5" t="n">
        <x:v>0.2639974028784763</x:v>
      </x:c>
      <x:c r="BH28" s="5" t="n">
        <x:v>0.1589005518883237</x:v>
      </x:c>
      <x:c r="BI28" s="5" t="n">
        <x:v>0.2412509468672221</x:v>
      </x:c>
      <x:c r="BJ28" s="5" t="n">
        <x:v>0.3136240666594524</x:v>
      </x:c>
      <x:c r="BK28" s="5" t="n">
        <x:v>0.002510550806189806</x:v>
      </x:c>
      <x:c r="BL28" s="5" t="n">
        <x:v>0.01971648090033546</x:v>
      </x:c>
    </x:row>
    <x:row r="29">
      <x:c r="A29" s="3" t="n">
        <x:v>10000886</x:v>
      </x:c>
      <x:c r="B29" s="6" t="n">
        <x:v>45248</x:v>
      </x:c>
      <x:c r="C29" s="5" t="n">
        <x:v>35239.8</x:v>
      </x:c>
      <x:c r="D29" s="5" t="n">
        <x:v>19440.8</x:v>
      </x:c>
      <x:c r="E29" s="3" t="n">
        <x:v>10720</x:v>
      </x:c>
      <x:c r="F29" s="3" t="n">
        <x:v>5079</x:v>
      </x:c>
      <x:c r="G29" s="3" t="n"/>
      <x:c r="H29" s="3" t="n"/>
      <x:c r="I29" s="3" t="n">
        <x:v>241909</x:v>
      </x:c>
      <x:c r="J29" s="5" t="n">
        <x:v>0.006035327333832143</x:v>
      </x:c>
      <x:c r="K29" s="5" t="n">
        <x:v>0.05384669441814897</x:v>
      </x:c>
      <x:c r="L29" s="5" t="n">
        <x:v>0.1762852973638848</x:v>
      </x:c>
      <x:c r="M29" s="5" t="n">
        <x:v>0.4196164673492925</x:v>
      </x:c>
      <x:c r="N29" s="5" t="n">
        <x:v>0.1839079984622317</x:v>
      </x:c>
      <x:c r="O29" s="5" t="n">
        <x:v>0.1603082150726099</x:v>
      </x:c>
      <x:c r="P29" s="3" t="n">
        <x:v>83</x:v>
      </x:c>
      <x:c r="Q29" s="3" t="n">
        <x:v>2</x:v>
      </x:c>
      <x:c r="R29" s="3" t="n">
        <x:v>0</x:v>
      </x:c>
      <x:c r="S29" s="3" t="n">
        <x:v>61</x:v>
      </x:c>
      <x:c r="T29" s="3" t="n">
        <x:v>10</x:v>
      </x:c>
      <x:c r="U29" s="3" t="n">
        <x:v>10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202311</x:v>
      </x:c>
      <x:c r="AA29" s="3" t="n">
        <x:v>1710</x:v>
      </x:c>
      <x:c r="AB29" s="5" t="n">
        <x:v>2070.8</x:v>
      </x:c>
      <x:c r="AC29" s="5" t="n">
        <x:v>1196.866666666667</x:v>
      </x:c>
      <x:c r="AD29" s="5" t="n">
        <x:v>1050.9</x:v>
      </x:c>
      <x:c r="AE29" s="5" t="n">
        <x:v>1261.5</x:v>
      </x:c>
      <x:c r="AF29" s="5" t="n">
        <x:v>1408.166666666667</x:v>
      </x:c>
      <x:c r="AG29" s="5" t="n">
        <x:v>1452.366666666667</x:v>
      </x:c>
      <x:c r="AH29" s="5" t="n">
        <x:v>1617.8</x:v>
      </x:c>
      <x:c r="AI29" s="5" t="n">
        <x:v>1895.8</x:v>
      </x:c>
      <x:c r="AJ29" s="5" t="n">
        <x:v>2142.3</x:v>
      </x:c>
      <x:c r="AK29" s="5" t="n">
        <x:v>2014.133333333333</x:v>
      </x:c>
      <x:c r="AL29" s="5" t="n">
        <x:v>1891.3</x:v>
      </x:c>
      <x:c r="AM29" s="5" t="n">
        <x:v>1767.233333333333</x:v>
      </x:c>
      <x:c r="AN29" s="3" t="n">
        <x:v>1710</x:v>
      </x:c>
      <x:c r="AO29" s="5" t="n">
        <x:v>717.1333333333333</x:v>
      </x:c>
      <x:c r="AP29" s="5" t="n">
        <x:v>799.9</x:v>
      </x:c>
      <x:c r="AQ29" s="5" t="n">
        <x:v>158.2</x:v>
      </x:c>
      <x:c r="AR29" s="5" t="n">
        <x:v>30.06666666666667</x:v>
      </x:c>
      <x:c r="AS29" s="5" t="n">
        <x:v>2.033333333333333</x:v>
      </x:c>
      <x:c r="AT29" s="5" t="n">
        <x:v>2.666666666666667</x:v>
      </x:c>
      <x:c r="AU29" s="5" t="n">
        <x:v>0.4193762183235867</x:v>
      </x:c>
      <x:c r="AV29" s="5" t="n">
        <x:v>0.4677777777777777</x:v>
      </x:c>
      <x:c r="AW29" s="5" t="n">
        <x:v>0.09251461988304092</x:v>
      </x:c>
      <x:c r="AX29" s="5" t="n">
        <x:v>0.01758284600389863</x:v>
      </x:c>
      <x:c r="AY29" s="5" t="n">
        <x:v>0.001189083820662768</x:v>
      </x:c>
      <x:c r="AZ29" s="5" t="n">
        <x:v>0.001559454191033138</x:v>
      </x:c>
      <x:c r="BA29" s="5" t="n">
        <x:v>830.0333333333333</x:v>
      </x:c>
      <x:c r="BB29" s="5" t="n">
        <x:v>475.9333333333333</x:v>
      </x:c>
      <x:c r="BC29" s="5" t="n">
        <x:v>297.2333333333333</x:v>
      </x:c>
      <x:c r="BD29" s="3" t="n">
        <x:v>70</x:v>
      </x:c>
      <x:c r="BE29" s="5" t="n">
        <x:v>11.26666666666667</x:v>
      </x:c>
      <x:c r="BF29" s="5" t="n">
        <x:v>25.53333333333333</x:v>
      </x:c>
      <x:c r="BG29" s="5" t="n">
        <x:v>0.4853996101364522</x:v>
      </x:c>
      <x:c r="BH29" s="5" t="n">
        <x:v>0.2783235867446394</x:v>
      </x:c>
      <x:c r="BI29" s="5" t="n">
        <x:v>0.1738206627680312</x:v>
      </x:c>
      <x:c r="BJ29" s="5" t="n">
        <x:v>0.04093567251461988</x:v>
      </x:c>
      <x:c r="BK29" s="5" t="n">
        <x:v>0.00658869395711501</x:v>
      </x:c>
      <x:c r="BL29" s="5" t="n">
        <x:v>0.0149317738791423</x:v>
      </x:c>
    </x:row>
    <x:row r="30">
      <x:c r="A30" s="3" t="n">
        <x:v>10000888</x:v>
      </x:c>
      <x:c r="B30" s="6" t="n">
        <x:v>45260</x:v>
      </x:c>
      <x:c r="C30" s="5" t="n">
        <x:v>42095.4</x:v>
      </x:c>
      <x:c r="D30" s="5" t="n">
        <x:v>10126.2</x:v>
      </x:c>
      <x:c r="E30" s="3" t="n">
        <x:v>14413</x:v>
      </x:c>
      <x:c r="F30" s="3" t="n">
        <x:v>6004</x:v>
      </x:c>
      <x:c r="G30" s="3" t="n">
        <x:v>2208</x:v>
      </x:c>
      <x:c r="H30" s="5" t="n">
        <x:v>9344.200000000001</x:v>
      </x:c>
      <x:c r="I30" s="3" t="n">
        <x:v>102556</x:v>
      </x:c>
      <x:c r="J30" s="5" t="n">
        <x:v>0.007400834665938609</x:v>
      </x:c>
      <x:c r="K30" s="5" t="n">
        <x:v>0.06731931822613986</x:v>
      </x:c>
      <x:c r="L30" s="5" t="n">
        <x:v>0.2306642224735754</x:v>
      </x:c>
      <x:c r="M30" s="5" t="n">
        <x:v>0.4821853426420687</x:v>
      </x:c>
      <x:c r="N30" s="5" t="n">
        <x:v>0.1427902804321541</x:v>
      </x:c>
      <x:c r="O30" s="5" t="n">
        <x:v>0.06964000156012325</x:v>
      </x:c>
      <x:c r="P30" s="3" t="n">
        <x:v>13</x:v>
      </x:c>
      <x:c r="Q30" s="3" t="n">
        <x:v>3</x:v>
      </x:c>
      <x:c r="R30" s="3" t="n">
        <x:v>0</x:v>
      </x:c>
      <x:c r="S30" s="3" t="n">
        <x:v>1</x:v>
      </x:c>
      <x:c r="T30" s="3" t="n">
        <x:v>5</x:v>
      </x:c>
      <x:c r="U30" s="3" t="n">
        <x:v>3</x:v>
      </x:c>
      <x:c r="V30" s="3" t="n">
        <x:v>1</x:v>
      </x:c>
      <x:c r="W30" s="3" t="n">
        <x:v>0</x:v>
      </x:c>
      <x:c r="X30" s="3" t="n">
        <x:v>1</x:v>
      </x:c>
      <x:c r="Y30" s="3" t="n">
        <x:v>0</x:v>
      </x:c>
      <x:c r="Z30" s="3" t="n">
        <x:v>202311</x:v>
      </x:c>
      <x:c r="AA30" s="5" t="n">
        <x:v>1257.766666666667</x:v>
      </x:c>
      <x:c r="AB30" s="5" t="n">
        <x:v>2013.3</x:v>
      </x:c>
      <x:c r="AC30" s="5" t="n">
        <x:v>958.1666666666666</x:v>
      </x:c>
      <x:c r="AD30" s="5" t="n">
        <x:v>821.9333333333333</x:v>
      </x:c>
      <x:c r="AE30" s="5" t="n">
        <x:v>967.4666666666667</x:v>
      </x:c>
      <x:c r="AF30" s="5" t="n">
        <x:v>1080.433333333333</x:v>
      </x:c>
      <x:c r="AG30" s="5" t="n">
        <x:v>1093.433333333333</x:v>
      </x:c>
      <x:c r="AH30" s="5" t="n">
        <x:v>1135.566666666667</x:v>
      </x:c>
      <x:c r="AI30" s="5" t="n">
        <x:v>1382.7</x:v>
      </x:c>
      <x:c r="AJ30" s="5" t="n">
        <x:v>1483.466666666667</x:v>
      </x:c>
      <x:c r="AK30" s="5" t="n">
        <x:v>1381.866666666667</x:v>
      </x:c>
      <x:c r="AL30" s="5" t="n">
        <x:v>1224.033333333333</x:v>
      </x:c>
      <x:c r="AM30" s="5" t="n">
        <x:v>1238.933333333333</x:v>
      </x:c>
      <x:c r="AN30" s="5" t="n">
        <x:v>1257.766666666667</x:v>
      </x:c>
      <x:c r="AO30" s="5" t="n">
        <x:v>255.6333333333333</x:v>
      </x:c>
      <x:c r="AP30" s="5" t="n">
        <x:v>710.7666666666667</x:v>
      </x:c>
      <x:c r="AQ30" s="5" t="n">
        <x:v>239.5666666666667</x:v>
      </x:c>
      <x:c r="AR30" s="5" t="n">
        <x:v>47.33333333333334</x:v>
      </x:c>
      <x:c r="AS30" s="5" t="n">
        <x:v>1.966666666666667</x:v>
      </x:c>
      <x:c r="AT30" s="5" t="n">
        <x:v>2.5</x:v>
      </x:c>
      <x:c r="AU30" s="5" t="n">
        <x:v>0.2032438449102907</x:v>
      </x:c>
      <x:c r="AV30" s="5" t="n">
        <x:v>0.5651021652134736</x:v>
      </x:c>
      <x:c r="AW30" s="5" t="n">
        <x:v>0.1904698804759759</x:v>
      </x:c>
      <x:c r="AX30" s="5" t="n">
        <x:v>0.0376328412795166</x:v>
      </x:c>
      <x:c r="AY30" s="5" t="n">
        <x:v>0.001563618053163014</x:v>
      </x:c>
      <x:c r="AZ30" s="5" t="n">
        <x:v>0.001987650067580102</x:v>
      </x:c>
      <x:c r="BA30" s="5" t="n">
        <x:v>184.2</x:v>
      </x:c>
      <x:c r="BB30" s="5" t="n">
        <x:v>587.0666666666667</x:v>
      </x:c>
      <x:c r="BC30" s="5" t="n">
        <x:v>346.6666666666667</x:v>
      </x:c>
      <x:c r="BD30" s="5" t="n">
        <x:v>122.4</x:v>
      </x:c>
      <x:c r="BE30" s="5" t="n">
        <x:v>1.066666666666667</x:v>
      </x:c>
      <x:c r="BF30" s="5" t="n">
        <x:v>16.36666666666667</x:v>
      </x:c>
      <x:c r="BG30" s="5" t="n">
        <x:v>0.1464500569793019</x:v>
      </x:c>
      <x:c r="BH30" s="5" t="n">
        <x:v>0.4667532398696102</x:v>
      </x:c>
      <x:c r="BI30" s="5" t="n">
        <x:v>0.2756208093711076</x:v>
      </x:c>
      <x:c r="BJ30" s="5" t="n">
        <x:v>0.09731534730872181</x:v>
      </x:c>
      <x:c r="BK30" s="5" t="n">
        <x:v>0.000848064028834177</x:v>
      </x:c>
      <x:c r="BL30" s="5" t="n">
        <x:v>0.0130124824424244</x:v>
      </x:c>
    </x:row>
    <x:row r="31">
      <x:c r="A31" s="3" t="n">
        <x:v>10000920</x:v>
      </x:c>
      <x:c r="B31" s="6" t="n">
        <x:v>45271</x:v>
      </x:c>
      <x:c r="C31" s="5" t="n">
        <x:v>69892.8</x:v>
      </x:c>
      <x:c r="D31" s="5" t="n">
        <x:v>27685.4</x:v>
      </x:c>
      <x:c r="E31" s="5" t="n">
        <x:v>25324.5</x:v>
      </x:c>
      <x:c r="F31" s="5" t="n">
        <x:v>7626.9</x:v>
      </x:c>
      <x:c r="G31" s="3" t="n">
        <x:v>9256</x:v>
      </x:c>
      <x:c r="H31" s="3" t="n"/>
      <x:c r="I31" s="3" t="n">
        <x:v>228688</x:v>
      </x:c>
      <x:c r="J31" s="5" t="n">
        <x:v>0.01106310781501434</x:v>
      </x:c>
      <x:c r="K31" s="5" t="n">
        <x:v>0.1034509899951025</x:v>
      </x:c>
      <x:c r="L31" s="5" t="n">
        <x:v>0.277976981739313</x:v>
      </x:c>
      <x:c r="M31" s="5" t="n">
        <x:v>0.4072579234590359</x:v>
      </x:c>
      <x:c r="N31" s="5" t="n">
        <x:v>0.1218297418316659</x:v>
      </x:c>
      <x:c r="O31" s="5" t="n">
        <x:v>0.07842125515986846</x:v>
      </x:c>
      <x:c r="P31" s="3" t="n">
        <x:v>26</x:v>
      </x:c>
      <x:c r="Q31" s="3" t="n">
        <x:v>5</x:v>
      </x:c>
      <x:c r="R31" s="3" t="n">
        <x:v>0</x:v>
      </x:c>
      <x:c r="S31" s="3" t="n">
        <x:v>15</x:v>
      </x:c>
      <x:c r="T31" s="3" t="n">
        <x:v>2</x:v>
      </x:c>
      <x:c r="U31" s="3" t="n">
        <x:v>2</x:v>
      </x:c>
      <x:c r="V31" s="3" t="n">
        <x:v>2</x:v>
      </x:c>
      <x:c r="W31" s="3" t="n">
        <x:v>1</x:v>
      </x:c>
      <x:c r="X31" s="3" t="n">
        <x:v>1</x:v>
      </x:c>
      <x:c r="Y31" s="3" t="n">
        <x:v>0</x:v>
      </x:c>
      <x:c r="Z31" s="3" t="n">
        <x:v>202312</x:v>
      </x:c>
      <x:c r="AA31" s="5" t="n">
        <x:v>1660.766666666667</x:v>
      </x:c>
      <x:c r="AB31" s="5" t="n">
        <x:v>2447.433333333333</x:v>
      </x:c>
      <x:c r="AC31" s="5" t="n">
        <x:v>1376.3</x:v>
      </x:c>
      <x:c r="AD31" s="5" t="n">
        <x:v>1239.1</x:v>
      </x:c>
      <x:c r="AE31" s="5" t="n">
        <x:v>1351.466666666667</x:v>
      </x:c>
      <x:c r="AF31" s="5" t="n">
        <x:v>1369.433333333333</x:v>
      </x:c>
      <x:c r="AG31" s="5" t="n">
        <x:v>1224.333333333333</x:v>
      </x:c>
      <x:c r="AH31" s="5" t="n">
        <x:v>1544.666666666667</x:v>
      </x:c>
      <x:c r="AI31" s="5" t="n">
        <x:v>1773.1</x:v>
      </x:c>
      <x:c r="AJ31" s="5" t="n">
        <x:v>1787.8</x:v>
      </x:c>
      <x:c r="AK31" s="5" t="n">
        <x:v>1689.166666666667</x:v>
      </x:c>
      <x:c r="AL31" s="5" t="n">
        <x:v>1702.866666666667</x:v>
      </x:c>
      <x:c r="AM31" s="5" t="n">
        <x:v>1649.8</x:v>
      </x:c>
      <x:c r="AN31" s="5" t="n">
        <x:v>1660.766666666667</x:v>
      </x:c>
      <x:c r="AO31" s="5" t="n">
        <x:v>464.4666666666666</x:v>
      </x:c>
      <x:c r="AP31" s="5" t="n">
        <x:v>806.2333333333333</x:v>
      </x:c>
      <x:c r="AQ31" s="5" t="n">
        <x:v>301.3333333333333</x:v>
      </x:c>
      <x:c r="AR31" s="5" t="n">
        <x:v>76.59999999999999</x:v>
      </x:c>
      <x:c r="AS31" s="5" t="n">
        <x:v>3.666666666666667</x:v>
      </x:c>
      <x:c r="AT31" s="5" t="n">
        <x:v>8.466666666666667</x:v>
      </x:c>
      <x:c r="AU31" s="5" t="n">
        <x:v>0.2796700319129719</x:v>
      </x:c>
      <x:c r="AV31" s="5" t="n">
        <x:v>0.485458523172029</x:v>
      </x:c>
      <x:c r="AW31" s="5" t="n">
        <x:v>0.1814423057623989</x:v>
      </x:c>
      <x:c r="AX31" s="5" t="n">
        <x:v>0.04612327639845051</x:v>
      </x:c>
      <x:c r="AY31" s="5" t="n">
        <x:v>0.002207815667462818</x:v>
      </x:c>
      <x:c r="AZ31" s="5" t="n">
        <x:v>0.005098047086686872</x:v>
      </x:c>
      <x:c r="BA31" s="5" t="n">
        <x:v>512.3</x:v>
      </x:c>
      <x:c r="BB31" s="5" t="n">
        <x:v>338.3</x:v>
      </x:c>
      <x:c r="BC31" s="5" t="n">
        <x:v>459.7333333333333</x:v>
      </x:c>
      <x:c r="BD31" s="5" t="n">
        <x:v>327.0666666666667</x:v>
      </x:c>
      <x:c r="BE31" s="5" t="n">
        <x:v>9.199999999999999</x:v>
      </x:c>
      <x:c r="BF31" s="5" t="n">
        <x:v>14.16666666666667</x:v>
      </x:c>
      <x:c r="BG31" s="5" t="n">
        <x:v>0.3084719908476005</x:v>
      </x:c>
      <x:c r="BH31" s="5" t="n">
        <x:v>0.2037011019007286</x:v>
      </x:c>
      <x:c r="BI31" s="5" t="n">
        <x:v>0.2768199425967927</x:v>
      </x:c>
      <x:c r="BJ31" s="5" t="n">
        <x:v>0.1969371575376834</x:v>
      </x:c>
      <x:c r="BK31" s="5" t="n">
        <x:v>0.005539610220179435</x:v>
      </x:c>
      <x:c r="BL31" s="5" t="n">
        <x:v>0.008530196897015434</x:v>
      </x:c>
    </x:row>
    <x:row r="32">
      <x:c r="A32" s="3" t="n">
        <x:v>10000921</x:v>
      </x:c>
      <x:c r="B32" s="6" t="n">
        <x:v>45284</x:v>
      </x:c>
      <x:c r="C32" s="5" t="n">
        <x:v>39068.79999999989</x:v>
      </x:c>
      <x:c r="D32" s="5" t="n">
        <x:v>25251.1999999999</x:v>
      </x:c>
      <x:c r="E32" s="3" t="n">
        <x:v>13808</x:v>
      </x:c>
      <x:c r="F32" s="5" t="n">
        <x:v>9.6</x:v>
      </x:c>
      <x:c r="G32" s="3" t="n"/>
      <x:c r="H32" s="3" t="n"/>
      <x:c r="I32" s="3" t="n">
        <x:v>103246</x:v>
      </x:c>
      <x:c r="J32" s="5" t="n">
        <x:v>0.007554772097708386</x:v>
      </x:c>
      <x:c r="K32" s="5" t="n">
        <x:v>0.07247738411173314</x:v>
      </x:c>
      <x:c r="L32" s="5" t="n">
        <x:v>0.2098676946322376</x:v>
      </x:c>
      <x:c r="M32" s="5" t="n">
        <x:v>0.4561629506227844</x:v>
      </x:c>
      <x:c r="N32" s="5" t="n">
        <x:v>0.1824477461596575</x:v>
      </x:c>
      <x:c r="O32" s="5" t="n">
        <x:v>0.07148945237587896</x:v>
      </x:c>
      <x:c r="P32" s="3" t="n">
        <x:v>20</x:v>
      </x:c>
      <x:c r="Q32" s="3" t="n">
        <x:v>5</x:v>
      </x:c>
      <x:c r="R32" s="3" t="n">
        <x:v>0</x:v>
      </x:c>
      <x:c r="S32" s="3" t="n">
        <x:v>9</x:v>
      </x:c>
      <x:c r="T32" s="3" t="n">
        <x:v>2</x:v>
      </x:c>
      <x:c r="U32" s="3" t="n">
        <x:v>0</x:v>
      </x:c>
      <x:c r="V32" s="3" t="n">
        <x:v>4</x:v>
      </x:c>
      <x:c r="W32" s="3" t="n">
        <x:v>0</x:v>
      </x:c>
      <x:c r="X32" s="3" t="n">
        <x:v>2</x:v>
      </x:c>
      <x:c r="Y32" s="3" t="n">
        <x:v>0</x:v>
      </x:c>
      <x:c r="Z32" s="3" t="n">
        <x:v>202312</x:v>
      </x:c>
      <x:c r="AA32" s="5" t="n">
        <x:v>1442.466666666667</x:v>
      </x:c>
      <x:c r="AB32" s="5" t="n">
        <x:v>1768.966666666667</x:v>
      </x:c>
      <x:c r="AC32" s="5" t="n">
        <x:v>870.6333333333333</x:v>
      </x:c>
      <x:c r="AD32" s="5" t="n">
        <x:v>1090.166666666667</x:v>
      </x:c>
      <x:c r="AE32" s="5" t="n">
        <x:v>1145.366666666667</x:v>
      </x:c>
      <x:c r="AF32" s="5" t="n">
        <x:v>1105.066666666667</x:v>
      </x:c>
      <x:c r="AG32" s="5" t="n">
        <x:v>1137.9</x:v>
      </x:c>
      <x:c r="AH32" s="5" t="n">
        <x:v>1413.466666666667</x:v>
      </x:c>
      <x:c r="AI32" s="5" t="n">
        <x:v>1662.966666666667</x:v>
      </x:c>
      <x:c r="AJ32" s="5" t="n">
        <x:v>1582.066666666667</x:v>
      </x:c>
      <x:c r="AK32" s="5" t="n">
        <x:v>1375.733333333333</x:v>
      </x:c>
      <x:c r="AL32" s="5" t="n">
        <x:v>1459.366666666667</x:v>
      </x:c>
      <x:c r="AM32" s="5" t="n">
        <x:v>1444.666666666667</x:v>
      </x:c>
      <x:c r="AN32" s="5" t="n">
        <x:v>1442.466666666667</x:v>
      </x:c>
      <x:c r="AO32" s="5" t="n">
        <x:v>491.1</x:v>
      </x:c>
      <x:c r="AP32" s="3" t="n">
        <x:v>697</x:v>
      </x:c>
      <x:c r="AQ32" s="5" t="n">
        <x:v>196.2666666666667</x:v>
      </x:c>
      <x:c r="AR32" s="5" t="n">
        <x:v>51.26666666666667</x:v>
      </x:c>
      <x:c r="AS32" s="3" t="n">
        <x:v>3</x:v>
      </x:c>
      <x:c r="AT32" s="5" t="n">
        <x:v>3.833333333333333</x:v>
      </x:c>
      <x:c r="AU32" s="5" t="n">
        <x:v>0.3404584739104312</x:v>
      </x:c>
      <x:c r="AV32" s="5" t="n">
        <x:v>0.4832000739474049</x:v>
      </x:c>
      <x:c r="AW32" s="5" t="n">
        <x:v>0.1360632250311966</x:v>
      </x:c>
      <x:c r="AX32" s="5" t="n">
        <x:v>0.03554097148403198</x:v>
      </x:c>
      <x:c r="AY32" s="5" t="n">
        <x:v>0.002079770763044784</x:v>
      </x:c>
      <x:c r="AZ32" s="5" t="n">
        <x:v>0.002657484863890558</x:v>
      </x:c>
      <x:c r="BA32" s="5" t="n">
        <x:v>707.0666666666667</x:v>
      </x:c>
      <x:c r="BB32" s="5" t="n">
        <x:v>379.9</x:v>
      </x:c>
      <x:c r="BC32" s="5" t="n">
        <x:v>246.5333333333333</x:v>
      </x:c>
      <x:c r="BD32" s="5" t="n">
        <x:v>95.09999999999999</x:v>
      </x:c>
      <x:c r="BE32" s="3" t="n">
        <x:v>0</x:v>
      </x:c>
      <x:c r="BF32" s="5" t="n">
        <x:v>13.86666666666667</x:v>
      </x:c>
      <x:c r="BG32" s="5" t="n">
        <x:v>0.4901788602856219</x:v>
      </x:c>
      <x:c r="BH32" s="5" t="n">
        <x:v>0.2633683042935712</x:v>
      </x:c>
      <x:c r="BI32" s="5" t="n">
        <x:v>0.1709109395942136</x:v>
      </x:c>
      <x:c r="BJ32" s="5" t="n">
        <x:v>0.06592873318851966</x:v>
      </x:c>
      <x:c r="BK32" s="3" t="n">
        <x:v>0</x:v>
      </x:c>
      <x:c r="BL32" s="5" t="n">
        <x:v>0.00961316263807367</x:v>
      </x:c>
    </x:row>
    <x:row r="33">
      <x:c r="A33" s="3" t="n">
        <x:v>10000928</x:v>
      </x:c>
      <x:c r="B33" s="6" t="n">
        <x:v>45281</x:v>
      </x:c>
      <x:c r="C33" s="3" t="n">
        <x:v>60046</x:v>
      </x:c>
      <x:c r="D33" s="3" t="n">
        <x:v>22617</x:v>
      </x:c>
      <x:c r="E33" s="5" t="n">
        <x:v>22453.8</x:v>
      </x:c>
      <x:c r="F33" s="5" t="n">
        <x:v>11070.2</x:v>
      </x:c>
      <x:c r="G33" s="3" t="n">
        <x:v>3905</x:v>
      </x:c>
      <x:c r="H33" s="3" t="n"/>
      <x:c r="I33" s="3" t="n">
        <x:v>142026</x:v>
      </x:c>
      <x:c r="J33" s="5" t="n">
        <x:v>0.00507653528227226</x:v>
      </x:c>
      <x:c r="K33" s="5" t="n">
        <x:v>0.06327010547364567</x:v>
      </x:c>
      <x:c r="L33" s="5" t="n">
        <x:v>0.2315913987579739</x:v>
      </x:c>
      <x:c r="M33" s="5" t="n">
        <x:v>0.4835734302170025</x:v>
      </x:c>
      <x:c r="N33" s="5" t="n">
        <x:v>0.146114091786011</x:v>
      </x:c>
      <x:c r="O33" s="5" t="n">
        <x:v>0.07037443848309465</x:v>
      </x:c>
      <x:c r="P33" s="3" t="n">
        <x:v>20</x:v>
      </x:c>
      <x:c r="Q33" s="3" t="n">
        <x:v>4</x:v>
      </x:c>
      <x:c r="R33" s="3" t="n">
        <x:v>0</x:v>
      </x:c>
      <x:c r="S33" s="3" t="n">
        <x:v>7</x:v>
      </x:c>
      <x:c r="T33" s="3" t="n">
        <x:v>4</x:v>
      </x:c>
      <x:c r="U33" s="3" t="n">
        <x:v>3</x:v>
      </x:c>
      <x:c r="V33" s="3" t="n">
        <x:v>2</x:v>
      </x:c>
      <x:c r="W33" s="3" t="n">
        <x:v>1</x:v>
      </x:c>
      <x:c r="X33" s="3" t="n">
        <x:v>1</x:v>
      </x:c>
      <x:c r="Y33" s="3" t="n">
        <x:v>1</x:v>
      </x:c>
      <x:c r="Z33" s="3" t="n">
        <x:v>202312</x:v>
      </x:c>
      <x:c r="AA33" s="5" t="n">
        <x:v>1457.966666666667</x:v>
      </x:c>
      <x:c r="AB33" s="5" t="n">
        <x:v>1451.466666666667</x:v>
      </x:c>
      <x:c r="AC33" s="5" t="n">
        <x:v>889.4333333333333</x:v>
      </x:c>
      <x:c r="AD33" s="5" t="n">
        <x:v>980.9333333333333</x:v>
      </x:c>
      <x:c r="AE33" s="5" t="n">
        <x:v>1222.066666666667</x:v>
      </x:c>
      <x:c r="AF33" s="5" t="n">
        <x:v>1228.166666666667</x:v>
      </x:c>
      <x:c r="AG33" s="5" t="n">
        <x:v>1281.033333333333</x:v>
      </x:c>
      <x:c r="AH33" s="5" t="n">
        <x:v>1534.6</x:v>
      </x:c>
      <x:c r="AI33" s="5" t="n">
        <x:v>1754.6</x:v>
      </x:c>
      <x:c r="AJ33" s="5" t="n">
        <x:v>1737.6</x:v>
      </x:c>
      <x:c r="AK33" s="5" t="n">
        <x:v>1515.9</x:v>
      </x:c>
      <x:c r="AL33" s="5" t="n">
        <x:v>1416.766666666667</x:v>
      </x:c>
      <x:c r="AM33" s="5" t="n">
        <x:v>1426.933333333333</x:v>
      </x:c>
      <x:c r="AN33" s="5" t="n">
        <x:v>1457.966666666667</x:v>
      </x:c>
      <x:c r="AO33" s="5" t="n">
        <x:v>415.8</x:v>
      </x:c>
      <x:c r="AP33" s="5" t="n">
        <x:v>777.6666666666666</x:v>
      </x:c>
      <x:c r="AQ33" s="5" t="n">
        <x:v>212.5666666666667</x:v>
      </x:c>
      <x:c r="AR33" s="5" t="n">
        <x:v>45.2</x:v>
      </x:c>
      <x:c r="AS33" s="5" t="n">
        <x:v>2.8</x:v>
      </x:c>
      <x:c r="AT33" s="5" t="n">
        <x:v>3.933333333333333</x:v>
      </x:c>
      <x:c r="AU33" s="5" t="n">
        <x:v>0.2851917053430577</x:v>
      </x:c>
      <x:c r="AV33" s="5" t="n">
        <x:v>0.5333912526578111</x:v>
      </x:c>
      <x:c r="AW33" s="5" t="n">
        <x:v>0.1457966574453005</x:v>
      </x:c>
      <x:c r="AX33" s="5" t="n">
        <x:v>0.03100208052310295</x:v>
      </x:c>
      <x:c r="AY33" s="5" t="n">
        <x:v>0.001920482864263015</x:v>
      </x:c>
      <x:c r="AZ33" s="5" t="n">
        <x:v>0.002697821166464711</x:v>
      </x:c>
      <x:c r="BA33" s="5" t="n">
        <x:v>343.3333333333333</x:v>
      </x:c>
      <x:c r="BB33" s="5" t="n">
        <x:v>370.6</x:v>
      </x:c>
      <x:c r="BC33" s="5" t="n">
        <x:v>377.4</x:v>
      </x:c>
      <x:c r="BD33" s="5" t="n">
        <x:v>334.0333333333334</x:v>
      </x:c>
      <x:c r="BE33" s="5" t="n">
        <x:v>16.16666666666667</x:v>
      </x:c>
      <x:c r="BF33" s="5" t="n">
        <x:v>16.43333333333333</x:v>
      </x:c>
      <x:c r="BG33" s="5" t="n">
        <x:v>0.2354877797846315</x:v>
      </x:c>
      <x:c r="BH33" s="5" t="n">
        <x:v>0.2541896248199547</x:v>
      </x:c>
      <x:c r="BI33" s="5" t="n">
        <x:v>0.2588536546331649</x:v>
      </x:c>
      <x:c r="BJ33" s="5" t="n">
        <x:v>0.2291090331283294</x:v>
      </x:c>
      <x:c r="BK33" s="5" t="n">
        <x:v>0.01108850225199479</x:v>
      </x:c>
      <x:c r="BL33" s="5" t="n">
        <x:v>0.0112714053819246</x:v>
      </x:c>
    </x:row>
    <x:row r="34">
      <x:c r="A34" s="3" t="n">
        <x:v>10000929</x:v>
      </x:c>
      <x:c r="B34" s="6" t="n">
        <x:v>45286</x:v>
      </x:c>
      <x:c r="C34" s="5" t="n">
        <x:v>79837.10000000001</x:v>
      </x:c>
      <x:c r="D34" s="5" t="n">
        <x:v>30410.8</x:v>
      </x:c>
      <x:c r="E34" s="3" t="n">
        <x:v>21261</x:v>
      </x:c>
      <x:c r="F34" s="5" t="n">
        <x:v>25947.5</x:v>
      </x:c>
      <x:c r="G34" s="5" t="n">
        <x:v>2217.8</x:v>
      </x:c>
      <x:c r="H34" s="3" t="n"/>
      <x:c r="I34" s="3" t="n">
        <x:v>156887</x:v>
      </x:c>
      <x:c r="J34" s="5" t="n">
        <x:v>0.005583636630186057</x:v>
      </x:c>
      <x:c r="K34" s="5" t="n">
        <x:v>0.06981457992057978</x:v>
      </x:c>
      <x:c r="L34" s="5" t="n">
        <x:v>0.2202094501137762</x:v>
      </x:c>
      <x:c r="M34" s="5" t="n">
        <x:v>0.4598405221592611</x:v>
      </x:c>
      <x:c r="N34" s="5" t="n">
        <x:v>0.1678214256120647</x:v>
      </x:c>
      <x:c r="O34" s="5" t="n">
        <x:v>0.07673038556413214</x:v>
      </x:c>
      <x:c r="P34" s="3" t="n">
        <x:v>43</x:v>
      </x:c>
      <x:c r="Q34" s="3" t="n">
        <x:v>7</x:v>
      </x:c>
      <x:c r="R34" s="3" t="n">
        <x:v>0</x:v>
      </x:c>
      <x:c r="S34" s="3" t="n">
        <x:v>21</x:v>
      </x:c>
      <x:c r="T34" s="3" t="n">
        <x:v>2</x:v>
      </x:c>
      <x:c r="U34" s="3" t="n">
        <x:v>7</x:v>
      </x:c>
      <x:c r="V34" s="3" t="n">
        <x:v>6</x:v>
      </x:c>
      <x:c r="W34" s="3" t="n">
        <x:v>1</x:v>
      </x:c>
      <x:c r="X34" s="3" t="n">
        <x:v>3</x:v>
      </x:c>
      <x:c r="Y34" s="3" t="n">
        <x:v>0</x:v>
      </x:c>
      <x:c r="Z34" s="3" t="n">
        <x:v>202312</x:v>
      </x:c>
      <x:c r="AA34" s="5" t="n">
        <x:v>1935.166666666667</x:v>
      </x:c>
      <x:c r="AB34" s="5" t="n">
        <x:v>1602.633333333333</x:v>
      </x:c>
      <x:c r="AC34" s="5" t="n">
        <x:v>845.7666666666667</x:v>
      </x:c>
      <x:c r="AD34" s="5" t="n">
        <x:v>980.1</x:v>
      </x:c>
      <x:c r="AE34" s="5" t="n">
        <x:v>1104.8</x:v>
      </x:c>
      <x:c r="AF34" s="5" t="n">
        <x:v>1105.666666666667</x:v>
      </x:c>
      <x:c r="AG34" s="5" t="n">
        <x:v>1408.6</x:v>
      </x:c>
      <x:c r="AH34" s="5" t="n">
        <x:v>1960.8</x:v>
      </x:c>
      <x:c r="AI34" s="5" t="n">
        <x:v>2414.7</x:v>
      </x:c>
      <x:c r="AJ34" s="5" t="n">
        <x:v>2326.8</x:v>
      </x:c>
      <x:c r="AK34" s="5" t="n">
        <x:v>2040.966666666667</x:v>
      </x:c>
      <x:c r="AL34" s="5" t="n">
        <x:v>1949.366666666667</x:v>
      </x:c>
      <x:c r="AM34" s="5" t="n">
        <x:v>1899.466666666667</x:v>
      </x:c>
      <x:c r="AN34" s="5" t="n">
        <x:v>1935.166666666667</x:v>
      </x:c>
      <x:c r="AO34" s="5" t="n">
        <x:v>616.9666666666667</x:v>
      </x:c>
      <x:c r="AP34" s="3" t="n">
        <x:v>977</x:v>
      </x:c>
      <x:c r="AQ34" s="5" t="n">
        <x:v>274.7</x:v>
      </x:c>
      <x:c r="AR34" s="5" t="n">
        <x:v>59.03333333333333</x:v>
      </x:c>
      <x:c r="AS34" s="5" t="n">
        <x:v>2.6</x:v>
      </x:c>
      <x:c r="AT34" s="5" t="n">
        <x:v>4.866666666666666</x:v>
      </x:c>
      <x:c r="AU34" s="5" t="n">
        <x:v>0.3188183618982</x:v>
      </x:c>
      <x:c r="AV34" s="5" t="n">
        <x:v>0.5048660752734476</x:v>
      </x:c>
      <x:c r="AW34" s="5" t="n">
        <x:v>0.1419515976229437</x:v>
      </x:c>
      <x:c r="AX34" s="5" t="n">
        <x:v>0.03050555507708207</x:v>
      </x:c>
      <x:c r="AY34" s="5" t="n">
        <x:v>0.001343553526828008</x:v>
      </x:c>
      <x:c r="AZ34" s="5" t="n">
        <x:v>0.002514856601498579</x:v>
      </x:c>
      <x:c r="BA34" s="5" t="n">
        <x:v>447.0333333333334</x:v>
      </x:c>
      <x:c r="BB34" s="5" t="n">
        <x:v>395.4666666666666</x:v>
      </x:c>
      <x:c r="BC34" s="5" t="n">
        <x:v>289.8333333333333</x:v>
      </x:c>
      <x:c r="BD34" s="3" t="n">
        <x:v>589</x:v>
      </x:c>
      <x:c r="BE34" s="5" t="n">
        <x:v>194.8</x:v>
      </x:c>
      <x:c r="BF34" s="5" t="n">
        <x:v>19.03333333333333</x:v>
      </x:c>
      <x:c r="BG34" s="5" t="n">
        <x:v>0.2310050813883386</x:v>
      </x:c>
      <x:c r="BH34" s="5" t="n">
        <x:v>0.2043579364395831</x:v>
      </x:c>
      <x:c r="BI34" s="5" t="n">
        <x:v>0.1497717681508914</x:v>
      </x:c>
      <x:c r="BJ34" s="5" t="n">
        <x:v>0.304366548962191</x:v>
      </x:c>
      <x:c r="BK34" s="5" t="n">
        <x:v>0.1006631642408061</x:v>
      </x:c>
      <x:c r="BL34" s="5" t="n">
        <x:v>0.009835500818189648</x:v>
      </x:c>
    </x:row>
    <x:row r="35">
      <x:c r="A35" s="3" t="n">
        <x:v>10000930</x:v>
      </x:c>
      <x:c r="B35" s="6" t="n">
        <x:v>45284</x:v>
      </x:c>
      <x:c r="C35" s="5" t="n">
        <x:v>35803.7</x:v>
      </x:c>
      <x:c r="D35" s="5" t="n">
        <x:v>22132.8</x:v>
      </x:c>
      <x:c r="E35" s="5" t="n">
        <x:v>12534.9</x:v>
      </x:c>
      <x:c r="F35" s="3" t="n">
        <x:v>1136</x:v>
      </x:c>
      <x:c r="G35" s="3" t="n"/>
      <x:c r="H35" s="3" t="n"/>
      <x:c r="I35" s="3" t="n">
        <x:v>152964</x:v>
      </x:c>
      <x:c r="J35" s="5" t="n">
        <x:v>0.01451321879657959</x:v>
      </x:c>
      <x:c r="K35" s="5" t="n">
        <x:v>0.08913208336602076</x:v>
      </x:c>
      <x:c r="L35" s="5" t="n">
        <x:v>0.2326691247613818</x:v>
      </x:c>
      <x:c r="M35" s="5" t="n">
        <x:v>0.4266951701053843</x:v>
      </x:c>
      <x:c r="N35" s="5" t="n">
        <x:v>0.1735114144504589</x:v>
      </x:c>
      <x:c r="O35" s="5" t="n">
        <x:v>0.06347898852017468</x:v>
      </x:c>
      <x:c r="P35" s="3" t="n">
        <x:v>26</x:v>
      </x:c>
      <x:c r="Q35" s="3" t="n">
        <x:v>3</x:v>
      </x:c>
      <x:c r="R35" s="3" t="n">
        <x:v>0</x:v>
      </x:c>
      <x:c r="S35" s="3" t="n">
        <x:v>13</x:v>
      </x:c>
      <x:c r="T35" s="3" t="n">
        <x:v>5</x:v>
      </x:c>
      <x:c r="U35" s="3" t="n">
        <x:v>4</x:v>
      </x:c>
      <x:c r="V35" s="3" t="n">
        <x:v>1</x:v>
      </x:c>
      <x:c r="W35" s="3" t="n">
        <x:v>0</x:v>
      </x:c>
      <x:c r="X35" s="3" t="n">
        <x:v>1</x:v>
      </x:c>
      <x:c r="Y35" s="3" t="n">
        <x:v>0</x:v>
      </x:c>
      <x:c r="Z35" s="3" t="n">
        <x:v>202312</x:v>
      </x:c>
      <x:c r="AA35" s="5" t="n">
        <x:v>1515.733333333333</x:v>
      </x:c>
      <x:c r="AB35" s="5" t="n">
        <x:v>1386.166666666667</x:v>
      </x:c>
      <x:c r="AC35" s="5" t="n">
        <x:v>671.4666666666667</x:v>
      </x:c>
      <x:c r="AD35" s="5" t="n">
        <x:v>1110.5</x:v>
      </x:c>
      <x:c r="AE35" s="5" t="n">
        <x:v>1498.133333333333</x:v>
      </x:c>
      <x:c r="AF35" s="5" t="n">
        <x:v>1490.3</x:v>
      </x:c>
      <x:c r="AG35" s="5" t="n">
        <x:v>1594.966666666667</x:v>
      </x:c>
      <x:c r="AH35" s="5" t="n">
        <x:v>1862.3</x:v>
      </x:c>
      <x:c r="AI35" s="5" t="n">
        <x:v>1848.666666666667</x:v>
      </x:c>
      <x:c r="AJ35" s="5" t="n">
        <x:v>1744.633333333333</x:v>
      </x:c>
      <x:c r="AK35" s="5" t="n">
        <x:v>1602.733333333333</x:v>
      </x:c>
      <x:c r="AL35" s="5" t="n">
        <x:v>1598.1</x:v>
      </x:c>
      <x:c r="AM35" s="5" t="n">
        <x:v>1545.633333333333</x:v>
      </x:c>
      <x:c r="AN35" s="5" t="n">
        <x:v>1515.733333333333</x:v>
      </x:c>
      <x:c r="AO35" s="5" t="n">
        <x:v>593.8333333333334</x:v>
      </x:c>
      <x:c r="AP35" s="5" t="n">
        <x:v>709.9333333333333</x:v>
      </x:c>
      <x:c r="AQ35" s="5" t="n">
        <x:v>163.3</x:v>
      </x:c>
      <x:c r="AR35" s="5" t="n">
        <x:v>42.86666666666667</x:v>
      </x:c>
      <x:c r="AS35" s="5" t="n">
        <x:v>2.6</x:v>
      </x:c>
      <x:c r="AT35" s="5" t="n">
        <x:v>3.2</x:v>
      </x:c>
      <x:c r="AU35" s="5" t="n">
        <x:v>0.3917795566502463</x:v>
      </x:c>
      <x:c r="AV35" s="5" t="n">
        <x:v>0.4683761435608726</x:v>
      </x:c>
      <x:c r="AW35" s="5" t="n">
        <x:v>0.1077366291344124</x:v>
      </x:c>
      <x:c r="AX35" s="5" t="n">
        <x:v>0.02828114004222379</x:v>
      </x:c>
      <x:c r="AY35" s="5" t="n">
        <x:v>0.001715341308937368</x:v>
      </x:c>
      <x:c r="AZ35" s="5" t="n">
        <x:v>0.00211118930330753</x:v>
      </x:c>
      <x:c r="BA35" s="5" t="n">
        <x:v>301.9</x:v>
      </x:c>
      <x:c r="BB35" s="5" t="n">
        <x:v>429.2</x:v>
      </x:c>
      <x:c r="BC35" s="5" t="n">
        <x:v>462.9666666666666</x:v>
      </x:c>
      <x:c r="BD35" s="5" t="n">
        <x:v>288.8</x:v>
      </x:c>
      <x:c r="BE35" s="5" t="n">
        <x:v>12.36666666666667</x:v>
      </x:c>
      <x:c r="BF35" s="5" t="n">
        <x:v>20.5</x:v>
      </x:c>
      <x:c r="BG35" s="5" t="n">
        <x:v>0.1991775158339198</x:v>
      </x:c>
      <x:c r="BH35" s="5" t="n">
        <x:v>0.2831632653061225</x:v>
      </x:c>
      <x:c r="BI35" s="5" t="n">
        <x:v>0.3054407107670654</x:v>
      </x:c>
      <x:c r="BJ35" s="5" t="n">
        <x:v>0.1905348346235046</x:v>
      </x:c>
      <x:c r="BK35" s="5" t="n">
        <x:v>0.008158866995073892</x:v>
      </x:c>
      <x:c r="BL35" s="5" t="n">
        <x:v>0.01352480647431386</x:v>
      </x:c>
    </x:row>
    <x:row r="36">
      <x:c r="A36" s="3" t="n">
        <x:v>10000936</x:v>
      </x:c>
      <x:c r="B36" s="6" t="n">
        <x:v>45315</x:v>
      </x:c>
      <x:c r="C36" s="5" t="n">
        <x:v>57120.1</x:v>
      </x:c>
      <x:c r="D36" s="5" t="n">
        <x:v>18951.1</x:v>
      </x:c>
      <x:c r="E36" s="3" t="n">
        <x:v>16942</x:v>
      </x:c>
      <x:c r="F36" s="3" t="n">
        <x:v>14862</x:v>
      </x:c>
      <x:c r="G36" s="3" t="n">
        <x:v>6365</x:v>
      </x:c>
      <x:c r="H36" s="3" t="n"/>
      <x:c r="I36" s="3" t="n">
        <x:v>168268</x:v>
      </x:c>
      <x:c r="J36" s="5" t="n">
        <x:v>0.007690113390543657</x:v>
      </x:c>
      <x:c r="K36" s="5" t="n">
        <x:v>0.08422278745810255</x:v>
      </x:c>
      <x:c r="L36" s="5" t="n">
        <x:v>0.2486271899588751</x:v>
      </x:c>
      <x:c r="M36" s="5" t="n">
        <x:v>0.452331994199729</x:v>
      </x:c>
      <x:c r="N36" s="5" t="n">
        <x:v>0.133727149547151</x:v>
      </x:c>
      <x:c r="O36" s="5" t="n">
        <x:v>0.07340076544559869</x:v>
      </x:c>
      <x:c r="P36" s="3" t="n">
        <x:v>32</x:v>
      </x:c>
      <x:c r="Q36" s="3" t="n">
        <x:v>4</x:v>
      </x:c>
      <x:c r="R36" s="3" t="n">
        <x:v>2</x:v>
      </x:c>
      <x:c r="S36" s="3" t="n">
        <x:v>14</x:v>
      </x:c>
      <x:c r="T36" s="3" t="n">
        <x:v>1</x:v>
      </x:c>
      <x:c r="U36" s="3" t="n">
        <x:v>4</x:v>
      </x:c>
      <x:c r="V36" s="3" t="n">
        <x:v>7</x:v>
      </x:c>
      <x:c r="W36" s="3" t="n">
        <x:v>0</x:v>
      </x:c>
      <x:c r="X36" s="3" t="n">
        <x:v>0</x:v>
      </x:c>
      <x:c r="Y36" s="3" t="n">
        <x:v>0</x:v>
      </x:c>
      <x:c r="Z36" s="3" t="n">
        <x:v>202401</x:v>
      </x:c>
      <x:c r="AA36" s="5" t="n">
        <x:v>1209.333333333333</x:v>
      </x:c>
      <x:c r="AB36" s="5" t="n">
        <x:v>1707.166666666667</x:v>
      </x:c>
      <x:c r="AC36" s="5" t="n">
        <x:v>1057.333333333333</x:v>
      </x:c>
      <x:c r="AD36" s="5" t="n">
        <x:v>1245.7</x:v>
      </x:c>
      <x:c r="AE36" s="5" t="n">
        <x:v>1117.933333333333</x:v>
      </x:c>
      <x:c r="AF36" s="5" t="n">
        <x:v>1110.833333333333</x:v>
      </x:c>
      <x:c r="AG36" s="5" t="n">
        <x:v>1596.133333333333</x:v>
      </x:c>
      <x:c r="AH36" s="5" t="n">
        <x:v>1740.2</x:v>
      </x:c>
      <x:c r="AI36" s="5" t="n">
        <x:v>1710.1</x:v>
      </x:c>
      <x:c r="AJ36" s="5" t="n">
        <x:v>1396.633333333333</x:v>
      </x:c>
      <x:c r="AK36" s="5" t="n">
        <x:v>1413.766666666667</x:v>
      </x:c>
      <x:c r="AL36" s="5" t="n">
        <x:v>1356.366666666667</x:v>
      </x:c>
      <x:c r="AM36" s="5" t="n">
        <x:v>1370.866666666667</x:v>
      </x:c>
      <x:c r="AN36" s="5" t="n">
        <x:v>1209.333333333333</x:v>
      </x:c>
      <x:c r="AO36" s="5" t="n">
        <x:v>324.8</x:v>
      </x:c>
      <x:c r="AP36" s="5" t="n">
        <x:v>621.4</x:v>
      </x:c>
      <x:c r="AQ36" s="5" t="n">
        <x:v>209.0666666666667</x:v>
      </x:c>
      <x:c r="AR36" s="5" t="n">
        <x:v>49.1</x:v>
      </x:c>
      <x:c r="AS36" s="5" t="n">
        <x:v>3.133333333333333</x:v>
      </x:c>
      <x:c r="AT36" s="5" t="n">
        <x:v>1.833333333333333</x:v>
      </x:c>
      <x:c r="AU36" s="5" t="n">
        <x:v>0.2685777287761852</x:v>
      </x:c>
      <x:c r="AV36" s="5" t="n">
        <x:v>0.5138368246968027</x:v>
      </x:c>
      <x:c r="AW36" s="5" t="n">
        <x:v>0.172877618522602</x:v>
      </x:c>
      <x:c r="AX36" s="5" t="n">
        <x:v>0.04060088202866594</x:v>
      </x:c>
      <x:c r="AY36" s="5" t="n">
        <x:v>0.002590959206174201</x:v>
      </x:c>
      <x:c r="AZ36" s="5" t="n">
        <x:v>0.001515986769570011</x:v>
      </x:c>
      <x:c r="BA36" s="5" t="n">
        <x:v>94.2</x:v>
      </x:c>
      <x:c r="BB36" s="5" t="n">
        <x:v>259.8666666666667</x:v>
      </x:c>
      <x:c r="BC36" s="5" t="n">
        <x:v>384.3333333333333</x:v>
      </x:c>
      <x:c r="BD36" s="5" t="n">
        <x:v>439.8666666666667</x:v>
      </x:c>
      <x:c r="BE36" s="5" t="n">
        <x:v>10.43333333333333</x:v>
      </x:c>
      <x:c r="BF36" s="5" t="n">
        <x:v>20.63333333333333</x:v>
      </x:c>
      <x:c r="BG36" s="5" t="n">
        <x:v>0.0778941565600882</x:v>
      </x:c>
      <x:c r="BH36" s="5" t="n">
        <x:v>0.2148842337375965</x:v>
      </x:c>
      <x:c r="BI36" s="5" t="n">
        <x:v>0.3178059536934951</x:v>
      </x:c>
      <x:c r="BJ36" s="5" t="n">
        <x:v>0.3637265711135612</x:v>
      </x:c>
      <x:c r="BK36" s="5" t="n">
        <x:v>0.008627342888643882</x:v>
      </x:c>
      <x:c r="BL36" s="5" t="n">
        <x:v>0.01706174200661522</x:v>
      </x:c>
    </x:row>
    <x:row r="37">
      <x:c r="A37" s="3" t="n">
        <x:v>10000957</x:v>
      </x:c>
      <x:c r="B37" s="6" t="n">
        <x:v>45355</x:v>
      </x:c>
      <x:c r="C37" s="5" t="n">
        <x:v>84486.59999999989</x:v>
      </x:c>
      <x:c r="D37" s="5" t="n">
        <x:v>52675.3</x:v>
      </x:c>
      <x:c r="E37" s="5" t="n">
        <x:v>25827.3999999999</x:v>
      </x:c>
      <x:c r="F37" s="5" t="n">
        <x:v>5773.9</x:v>
      </x:c>
      <x:c r="G37" s="3" t="n">
        <x:v>210</x:v>
      </x:c>
      <x:c r="H37" s="3" t="n"/>
      <x:c r="I37" s="3" t="n">
        <x:v>210436</x:v>
      </x:c>
      <x:c r="J37" s="5" t="n">
        <x:v>0.004428899998099185</x:v>
      </x:c>
      <x:c r="K37" s="5" t="n">
        <x:v>0.05392613431161968</x:v>
      </x:c>
      <x:c r="L37" s="5" t="n">
        <x:v>0.1846594689121633</x:v>
      </x:c>
      <x:c r="M37" s="5" t="n">
        <x:v>0.4425668611834477</x:v>
      </x:c>
      <x:c r="N37" s="5" t="n">
        <x:v>0.1943821399380334</x:v>
      </x:c>
      <x:c r="O37" s="5" t="n">
        <x:v>0.1200364956566367</x:v>
      </x:c>
      <x:c r="P37" s="3" t="n">
        <x:v>50</x:v>
      </x:c>
      <x:c r="Q37" s="3" t="n">
        <x:v>7</x:v>
      </x:c>
      <x:c r="R37" s="3" t="n">
        <x:v>3</x:v>
      </x:c>
      <x:c r="S37" s="3" t="n">
        <x:v>24</x:v>
      </x:c>
      <x:c r="T37" s="3" t="n">
        <x:v>6</x:v>
      </x:c>
      <x:c r="U37" s="3" t="n">
        <x:v>6</x:v>
      </x:c>
      <x:c r="V37" s="3" t="n">
        <x:v>4</x:v>
      </x:c>
      <x:c r="W37" s="3" t="n">
        <x:v>0</x:v>
      </x:c>
      <x:c r="X37" s="3" t="n">
        <x:v>2</x:v>
      </x:c>
      <x:c r="Y37" s="3" t="n">
        <x:v>0</x:v>
      </x:c>
      <x:c r="Z37" s="3" t="n">
        <x:v>202403</x:v>
      </x:c>
      <x:c r="AA37" s="5" t="n">
        <x:v>1836.2</x:v>
      </x:c>
      <x:c r="AB37" s="5" t="n">
        <x:v>2066.833333333333</x:v>
      </x:c>
      <x:c r="AC37" s="5" t="n">
        <x:v>1252.433333333333</x:v>
      </x:c>
      <x:c r="AD37" s="5" t="n">
        <x:v>1254.733333333333</x:v>
      </x:c>
      <x:c r="AE37" s="5" t="n">
        <x:v>1378.666666666667</x:v>
      </x:c>
      <x:c r="AF37" s="5" t="n">
        <x:v>1717.633333333333</x:v>
      </x:c>
      <x:c r="AG37" s="5" t="n">
        <x:v>1885.166666666667</x:v>
      </x:c>
      <x:c r="AH37" s="5" t="n">
        <x:v>1837.233333333333</x:v>
      </x:c>
      <x:c r="AI37" s="5" t="n">
        <x:v>1735.9</x:v>
      </x:c>
      <x:c r="AJ37" s="5" t="n">
        <x:v>1730.533333333333</x:v>
      </x:c>
      <x:c r="AK37" s="5" t="n">
        <x:v>1809.9</x:v>
      </x:c>
      <x:c r="AL37" s="5" t="n">
        <x:v>1570.3</x:v>
      </x:c>
      <x:c r="AM37" s="5" t="n">
        <x:v>1624.1</x:v>
      </x:c>
      <x:c r="AN37" s="5" t="n">
        <x:v>1836.2</x:v>
      </x:c>
      <x:c r="AO37" s="5" t="n">
        <x:v>688.2333333333333</x:v>
      </x:c>
      <x:c r="AP37" s="5" t="n">
        <x:v>895.9</x:v>
      </x:c>
      <x:c r="AQ37" s="5" t="n">
        <x:v>209.4</x:v>
      </x:c>
      <x:c r="AR37" s="5" t="n">
        <x:v>37.43333333333333</x:v>
      </x:c>
      <x:c r="AS37" s="5" t="n">
        <x:v>2.7</x:v>
      </x:c>
      <x:c r="AT37" s="5" t="n">
        <x:v>2.533333333333333</x:v>
      </x:c>
      <x:c r="AU37" s="5" t="n">
        <x:v>0.374813927313655</x:v>
      </x:c>
      <x:c r="AV37" s="5" t="n">
        <x:v>0.4879098137457793</x:v>
      </x:c>
      <x:c r="AW37" s="5" t="n">
        <x:v>0.1140398649384599</x:v>
      </x:c>
      <x:c r="AX37" s="5" t="n">
        <x:v>0.02038630505028501</x:v>
      </x:c>
      <x:c r="AY37" s="5" t="n">
        <x:v>0.001470428057945758</x:v>
      </x:c>
      <x:c r="AZ37" s="5" t="n">
        <x:v>0.001379660893875032</x:v>
      </x:c>
      <x:c r="BA37" s="5" t="n">
        <x:v>747.5666666666667</x:v>
      </x:c>
      <x:c r="BB37" s="5" t="n">
        <x:v>561.4</x:v>
      </x:c>
      <x:c r="BC37" s="5" t="n">
        <x:v>438.1666666666667</x:v>
      </x:c>
      <x:c r="BD37" s="5" t="n">
        <x:v>70.63333333333334</x:v>
      </x:c>
      <x:c r="BE37" s="5" t="n">
        <x:v>1.766666666666667</x:v>
      </x:c>
      <x:c r="BF37" s="5" t="n">
        <x:v>16.66666666666667</x:v>
      </x:c>
      <x:c r="BG37" s="5" t="n">
        <x:v>0.4071270377228334</x:v>
      </x:c>
      <x:c r="BH37" s="5" t="n">
        <x:v>0.3057401154558327</x:v>
      </x:c>
      <x:c r="BI37" s="5" t="n">
        <x:v>0.2386268743419381</x:v>
      </x:c>
      <x:c r="BJ37" s="5" t="n">
        <x:v>0.03846712413317359</x:v>
      </x:c>
      <x:c r="BK37" s="5" t="n">
        <x:v>0.0009621319391496932</x:v>
      </x:c>
      <x:c r="BL37" s="5" t="n">
        <x:v>0.009076716407072577</x:v>
      </x:c>
    </x:row>
    <x:row r="38">
      <x:c r="A38" s="3" t="n">
        <x:v>10000972</x:v>
      </x:c>
      <x:c r="B38" s="6" t="n">
        <x:v>45438</x:v>
      </x:c>
      <x:c r="C38" s="5" t="n">
        <x:v>65613.10000000001</x:v>
      </x:c>
      <x:c r="D38" s="5" t="n">
        <x:v>31105.7</x:v>
      </x:c>
      <x:c r="E38" s="5" t="n">
        <x:v>21191.4</x:v>
      </x:c>
      <x:c r="F38" s="3" t="n">
        <x:v>13120</x:v>
      </x:c>
      <x:c r="G38" s="3" t="n">
        <x:v>196</x:v>
      </x:c>
      <x:c r="H38" s="3" t="n"/>
      <x:c r="I38" s="3" t="n">
        <x:v>230148</x:v>
      </x:c>
      <x:c r="J38" s="5" t="n">
        <x:v>0.003098006500165111</x:v>
      </x:c>
      <x:c r="K38" s="5" t="n">
        <x:v>0.0276952222048421</x:v>
      </x:c>
      <x:c r="L38" s="5" t="n">
        <x:v>0.1208179084762848</x:v>
      </x:c>
      <x:c r="M38" s="5" t="n">
        <x:v>0.4552722595894815</x:v>
      </x:c>
      <x:c r="N38" s="5" t="n">
        <x:v>0.3080452578340894</x:v>
      </x:c>
      <x:c r="O38" s="5" t="n">
        <x:v>0.08507134539513704</x:v>
      </x:c>
      <x:c r="P38" s="3" t="n">
        <x:v>49</x:v>
      </x:c>
      <x:c r="Q38" s="3" t="n">
        <x:v>6</x:v>
      </x:c>
      <x:c r="R38" s="3" t="n">
        <x:v>2</x:v>
      </x:c>
      <x:c r="S38" s="3" t="n">
        <x:v>28</x:v>
      </x:c>
      <x:c r="T38" s="3" t="n">
        <x:v>5</x:v>
      </x:c>
      <x:c r="U38" s="3" t="n">
        <x:v>6</x:v>
      </x:c>
      <x:c r="V38" s="3" t="n">
        <x:v>2</x:v>
      </x:c>
      <x:c r="W38" s="3" t="n">
        <x:v>0</x:v>
      </x:c>
      <x:c r="X38" s="3" t="n">
        <x:v>0</x:v>
      </x:c>
      <x:c r="Y38" s="3" t="n">
        <x:v>0</x:v>
      </x:c>
      <x:c r="Z38" s="3" t="n">
        <x:v>202405</x:v>
      </x:c>
      <x:c r="AA38" s="5" t="n">
        <x:v>1897.866666666667</x:v>
      </x:c>
      <x:c r="AB38" s="5" t="n">
        <x:v>1317.3</x:v>
      </x:c>
      <x:c r="AC38" s="5" t="n">
        <x:v>1305.766666666667</x:v>
      </x:c>
      <x:c r="AD38" s="5" t="n">
        <x:v>1420.366666666667</x:v>
      </x:c>
      <x:c r="AE38" s="5" t="n">
        <x:v>1432.7</x:v>
      </x:c>
      <x:c r="AF38" s="5" t="n">
        <x:v>1272.933333333333</x:v>
      </x:c>
      <x:c r="AG38" s="5" t="n">
        <x:v>1281.4</x:v>
      </x:c>
      <x:c r="AH38" s="5" t="n">
        <x:v>1334.7</x:v>
      </x:c>
      <x:c r="AI38" s="5" t="n">
        <x:v>1279.666666666667</x:v>
      </x:c>
      <x:c r="AJ38" s="5" t="n">
        <x:v>1180.733333333333</x:v>
      </x:c>
      <x:c r="AK38" s="5" t="n">
        <x:v>1443.566666666667</x:v>
      </x:c>
      <x:c r="AL38" s="5" t="n">
        <x:v>1619.566666666667</x:v>
      </x:c>
      <x:c r="AM38" s="5" t="n">
        <x:v>1735.933333333333</x:v>
      </x:c>
      <x:c r="AN38" s="5" t="n">
        <x:v>1897.866666666667</x:v>
      </x:c>
      <x:c r="AO38" s="5" t="n">
        <x:v>961.4</x:v>
      </x:c>
      <x:c r="AP38" s="5" t="n">
        <x:v>793.5333333333333</x:v>
      </x:c>
      <x:c r="AQ38" s="5" t="n">
        <x:v>121.3666666666667</x:v>
      </x:c>
      <x:c r="AR38" s="5" t="n">
        <x:v>18.13333333333333</x:v>
      </x:c>
      <x:c r="AS38" s="5" t="n">
        <x:v>2.466666666666667</x:v>
      </x:c>
      <x:c r="AT38" s="5" t="n">
        <x:v>0.9666666666666667</x:v>
      </x:c>
      <x:c r="AU38" s="5" t="n">
        <x:v>0.5065687789799073</x:v>
      </x:c>
      <x:c r="AV38" s="5" t="n">
        <x:v>0.4181185892932415</x:v>
      </x:c>
      <x:c r="AW38" s="5" t="n">
        <x:v>0.06394899536321484</x:v>
      </x:c>
      <x:c r="AX38" s="5" t="n">
        <x:v>0.00955458760713784</x:v>
      </x:c>
      <x:c r="AY38" s="5" t="n">
        <x:v>0.001299704931853309</x:v>
      </x:c>
      <x:c r="AZ38" s="5" t="n">
        <x:v>0.0005093438246452157</x:v>
      </x:c>
      <x:c r="BA38" s="5" t="n">
        <x:v>302.3333333333333</x:v>
      </x:c>
      <x:c r="BB38" s="5" t="n">
        <x:v>419.6333333333333</x:v>
      </x:c>
      <x:c r="BC38" s="5" t="n">
        <x:v>648.0666666666667</x:v>
      </x:c>
      <x:c r="BD38" s="5" t="n">
        <x:v>404.4</x:v>
      </x:c>
      <x:c r="BE38" s="5" t="n">
        <x:v>88.66666666666667</x:v>
      </x:c>
      <x:c r="BF38" s="5" t="n">
        <x:v>34.76666666666667</x:v>
      </x:c>
      <x:c r="BG38" s="5" t="n">
        <x:v>0.1593016720528312</x:v>
      </x:c>
      <x:c r="BH38" s="5" t="n">
        <x:v>0.2211079106365041</x:v>
      </x:c>
      <x:c r="BI38" s="5" t="n">
        <x:v>0.3414711254742167</x:v>
      </x:c>
      <x:c r="BJ38" s="5" t="n">
        <x:v>0.213081354503302</x:v>
      </x:c>
      <x:c r="BK38" s="5" t="n">
        <x:v>0.04671912322607841</x:v>
      </x:c>
      <x:c r="BL38" s="5" t="n">
        <x:v>0.01831881410706759</x:v>
      </x:c>
    </x:row>
    <x:row r="39">
      <x:c r="A39" s="3" t="n">
        <x:v>10000990</x:v>
      </x:c>
      <x:c r="B39" s="6" t="n">
        <x:v>45467</x:v>
      </x:c>
      <x:c r="C39" s="5" t="n">
        <x:v>29427.6</x:v>
      </x:c>
      <x:c r="D39" s="5" t="n">
        <x:v>21291.1</x:v>
      </x:c>
      <x:c r="E39" s="5" t="n">
        <x:v>8136.5</x:v>
      </x:c>
      <x:c r="F39" s="3" t="n"/>
      <x:c r="G39" s="3" t="n"/>
      <x:c r="H39" s="3" t="n"/>
      <x:c r="I39" s="3" t="n">
        <x:v>143375</x:v>
      </x:c>
      <x:c r="J39" s="5" t="n">
        <x:v>0.004136006974716652</x:v>
      </x:c>
      <x:c r="K39" s="5" t="n">
        <x:v>0.05175239755884917</x:v>
      </x:c>
      <x:c r="L39" s="5" t="n">
        <x:v>0.187745422842197</x:v>
      </x:c>
      <x:c r="M39" s="5" t="n">
        <x:v>0.4652275501307759</x:v>
      </x:c>
      <x:c r="N39" s="5" t="n">
        <x:v>0.2124289450741064</x:v>
      </x:c>
      <x:c r="O39" s="5" t="n">
        <x:v>0.07870967741935483</x:v>
      </x:c>
      <x:c r="P39" s="3" t="n">
        <x:v>40</x:v>
      </x:c>
      <x:c r="Q39" s="3" t="n">
        <x:v>4</x:v>
      </x:c>
      <x:c r="R39" s="3" t="n">
        <x:v>3</x:v>
      </x:c>
      <x:c r="S39" s="3" t="n">
        <x:v>21</x:v>
      </x:c>
      <x:c r="T39" s="3" t="n">
        <x:v>3</x:v>
      </x:c>
      <x:c r="U39" s="3" t="n">
        <x:v>5</x:v>
      </x:c>
      <x:c r="V39" s="3" t="n">
        <x:v>4</x:v>
      </x:c>
      <x:c r="W39" s="3" t="n">
        <x:v>1</x:v>
      </x:c>
      <x:c r="X39" s="3" t="n">
        <x:v>2</x:v>
      </x:c>
      <x:c r="Y39" s="3" t="n">
        <x:v>1</x:v>
      </x:c>
      <x:c r="Z39" s="3" t="n">
        <x:v>202406</x:v>
      </x:c>
      <x:c r="AA39" s="5" t="n">
        <x:v>2039.7</x:v>
      </x:c>
      <x:c r="AB39" s="5" t="n">
        <x:v>1950.933333333333</x:v>
      </x:c>
      <x:c r="AC39" s="5" t="n">
        <x:v>1393.266666666667</x:v>
      </x:c>
      <x:c r="AD39" s="5" t="n">
        <x:v>1413.766666666667</x:v>
      </x:c>
      <x:c r="AE39" s="5" t="n">
        <x:v>1167.833333333333</x:v>
      </x:c>
      <x:c r="AF39" s="5" t="n">
        <x:v>1148.5</x:v>
      </x:c>
      <x:c r="AG39" s="5" t="n">
        <x:v>1156.766666666667</x:v>
      </x:c>
      <x:c r="AH39" s="5" t="n">
        <x:v>1205.033333333333</x:v>
      </x:c>
      <x:c r="AI39" s="5" t="n">
        <x:v>1078.033333333333</x:v>
      </x:c>
      <x:c r="AJ39" s="5" t="n">
        <x:v>1375.7</x:v>
      </x:c>
      <x:c r="AK39" s="5" t="n">
        <x:v>1526.333333333333</x:v>
      </x:c>
      <x:c r="AL39" s="5" t="n">
        <x:v>1628.066666666667</x:v>
      </x:c>
      <x:c r="AM39" s="5" t="n">
        <x:v>1861.333333333333</x:v>
      </x:c>
      <x:c r="AN39" s="5" t="n">
        <x:v>2039.7</x:v>
      </x:c>
      <x:c r="AO39" s="5" t="n">
        <x:v>726.6666666666666</x:v>
      </x:c>
      <x:c r="AP39" s="5" t="n">
        <x:v>957.3666666666667</x:v>
      </x:c>
      <x:c r="AQ39" s="5" t="n">
        <x:v>286.3</x:v>
      </x:c>
      <x:c r="AR39" s="5" t="n">
        <x:v>62.9</x:v>
      </x:c>
      <x:c r="AS39" s="5" t="n">
        <x:v>5.4</x:v>
      </x:c>
      <x:c r="AT39" s="5" t="n">
        <x:v>1.066666666666667</x:v>
      </x:c>
      <x:c r="AU39" s="5" t="n">
        <x:v>0.356261541729993</x:v>
      </x:c>
      <x:c r="AV39" s="5" t="n">
        <x:v>0.4693664100929875</x:v>
      </x:c>
      <x:c r="AW39" s="5" t="n">
        <x:v>0.1403637789871059</x:v>
      </x:c>
      <x:c r="AX39" s="5" t="n">
        <x:v>0.03083786831396774</x:v>
      </x:c>
      <x:c r="AY39" s="5" t="n">
        <x:v>0.002647448154140315</x:v>
      </x:c>
      <x:c r="AZ39" s="5" t="n">
        <x:v>0.0005229527218054942</x:v>
      </x:c>
      <x:c r="BA39" s="5" t="n">
        <x:v>707.1666666666666</x:v>
      </x:c>
      <x:c r="BB39" s="5" t="n">
        <x:v>586.1666666666666</x:v>
      </x:c>
      <x:c r="BC39" s="5" t="n">
        <x:v>451.9</x:v>
      </x:c>
      <x:c r="BD39" s="5" t="n">
        <x:v>204.7333333333333</x:v>
      </x:c>
      <x:c r="BE39" s="5" t="n">
        <x:v>44.46666666666667</x:v>
      </x:c>
      <x:c r="BF39" s="5" t="n">
        <x:v>45.26666666666667</x:v>
      </x:c>
      <x:c r="BG39" s="5" t="n">
        <x:v>0.3467013122844863</x:v>
      </x:c>
      <x:c r="BH39" s="5" t="n">
        <x:v>0.2873788629046755</x:v>
      </x:c>
      <x:c r="BI39" s="5" t="n">
        <x:v>0.2215521890474089</x:v>
      </x:c>
      <x:c r="BJ39" s="5" t="n">
        <x:v>0.1003742380415421</x:v>
      </x:c>
      <x:c r="BK39" s="5" t="n">
        <x:v>0.02180059159026654</x:v>
      </x:c>
      <x:c r="BL39" s="5" t="n">
        <x:v>0.02219280613162066</x:v>
      </x:c>
    </x:row>
    <x:row r="40">
      <x:c r="A40" s="3" t="n">
        <x:v>10001038</x:v>
      </x:c>
      <x:c r="B40" s="6" t="n">
        <x:v>45592</x:v>
      </x:c>
      <x:c r="C40" s="5" t="n">
        <x:v>50905.2</x:v>
      </x:c>
      <x:c r="D40" s="3" t="n">
        <x:v>7078</x:v>
      </x:c>
      <x:c r="E40" s="5" t="n">
        <x:v>27908.1</x:v>
      </x:c>
      <x:c r="F40" s="5" t="n">
        <x:v>10362.1</x:v>
      </x:c>
      <x:c r="G40" s="3" t="n">
        <x:v>5557</x:v>
      </x:c>
      <x:c r="H40" s="3" t="n"/>
      <x:c r="I40" s="3" t="n">
        <x:v>156202</x:v>
      </x:c>
      <x:c r="J40" s="5" t="n">
        <x:v>0.01043520569518956</x:v>
      </x:c>
      <x:c r="K40" s="5" t="n">
        <x:v>0.09213070255182391</x:v>
      </x:c>
      <x:c r="L40" s="5" t="n">
        <x:v>0.2493566023482414</x:v>
      </x:c>
      <x:c r="M40" s="5" t="n">
        <x:v>0.4329714088167885</x:v>
      </x:c>
      <x:c r="N40" s="5" t="n">
        <x:v>0.1391595498137028</x:v>
      </x:c>
      <x:c r="O40" s="5" t="n">
        <x:v>0.07594653077425385</x:v>
      </x:c>
      <x:c r="P40" s="3" t="n">
        <x:v>36</x:v>
      </x:c>
      <x:c r="Q40" s="3" t="n">
        <x:v>4</x:v>
      </x:c>
      <x:c r="R40" s="3" t="n">
        <x:v>4</x:v>
      </x:c>
      <x:c r="S40" s="3" t="n">
        <x:v>14</x:v>
      </x:c>
      <x:c r="T40" s="3" t="n">
        <x:v>4</x:v>
      </x:c>
      <x:c r="U40" s="3" t="n">
        <x:v>8</x:v>
      </x:c>
      <x:c r="V40" s="3" t="n">
        <x:v>2</x:v>
      </x:c>
      <x:c r="W40" s="3" t="n">
        <x:v>1</x:v>
      </x:c>
      <x:c r="X40" s="3" t="n">
        <x:v>3</x:v>
      </x:c>
      <x:c r="Y40" s="3" t="n">
        <x:v>0</x:v>
      </x:c>
      <x:c r="Z40" s="3" t="n">
        <x:v>202410</x:v>
      </x:c>
      <x:c r="AA40" s="5" t="n">
        <x:v>1252.6</x:v>
      </x:c>
      <x:c r="AB40" s="5" t="n">
        <x:v>981.3</x:v>
      </x:c>
      <x:c r="AC40" s="5" t="n">
        <x:v>905.3666666666667</x:v>
      </x:c>
      <x:c r="AD40" s="5" t="n">
        <x:v>849.9666666666667</x:v>
      </x:c>
      <x:c r="AE40" s="5" t="n">
        <x:v>816.1666666666666</x:v>
      </x:c>
      <x:c r="AF40" s="3" t="n">
        <x:v>906</x:v>
      </x:c>
      <x:c r="AG40" s="5" t="n">
        <x:v>991.8333333333334</x:v>
      </x:c>
      <x:c r="AH40" s="5" t="n">
        <x:v>1083.266666666667</x:v>
      </x:c>
      <x:c r="AI40" s="5" t="n">
        <x:v>1222.266666666667</x:v>
      </x:c>
      <x:c r="AJ40" s="5" t="n">
        <x:v>1310.066666666667</x:v>
      </x:c>
      <x:c r="AK40" s="5" t="n">
        <x:v>1349.066666666667</x:v>
      </x:c>
      <x:c r="AL40" s="5" t="n">
        <x:v>1436.8</x:v>
      </x:c>
      <x:c r="AM40" s="5" t="n">
        <x:v>1298.833333333333</x:v>
      </x:c>
      <x:c r="AN40" s="5" t="n">
        <x:v>1252.6</x:v>
      </x:c>
      <x:c r="AO40" s="5" t="n">
        <x:v>344.8333333333333</x:v>
      </x:c>
      <x:c r="AP40" s="5" t="n">
        <x:v>647.0666666666667</x:v>
      </x:c>
      <x:c r="AQ40" s="5" t="n">
        <x:v>203.8</x:v>
      </x:c>
      <x:c r="AR40" s="5" t="n">
        <x:v>50.66666666666666</x:v>
      </x:c>
      <x:c r="AS40" s="5" t="n">
        <x:v>2.833333333333333</x:v>
      </x:c>
      <x:c r="AT40" s="5" t="n">
        <x:v>3.4</x:v>
      </x:c>
      <x:c r="AU40" s="5" t="n">
        <x:v>0.2752940550321997</x:v>
      </x:c>
      <x:c r="AV40" s="5" t="n">
        <x:v>0.5165788493267338</x:v>
      </x:c>
      <x:c r="AW40" s="5" t="n">
        <x:v>0.1627015807121188</x:v>
      </x:c>
      <x:c r="AX40" s="5" t="n">
        <x:v>0.04044919899941455</x:v>
      </x:c>
      <x:c r="AY40" s="5" t="n">
        <x:v>0.002261961786151472</x:v>
      </x:c>
      <x:c r="AZ40" s="5" t="n">
        <x:v>0.002714354143381766</x:v>
      </x:c>
      <x:c r="BA40" s="5" t="n">
        <x:v>103.1</x:v>
      </x:c>
      <x:c r="BB40" s="5" t="n">
        <x:v>211.8</x:v>
      </x:c>
      <x:c r="BC40" s="5" t="n">
        <x:v>346.3333333333333</x:v>
      </x:c>
      <x:c r="BD40" s="5" t="n">
        <x:v>534.2666666666667</x:v>
      </x:c>
      <x:c r="BE40" s="5" t="n">
        <x:v>11.26666666666667</x:v>
      </x:c>
      <x:c r="BF40" s="5" t="n">
        <x:v>45.83333333333334</x:v>
      </x:c>
      <x:c r="BG40" s="5" t="n">
        <x:v>0.08230879770078238</x:v>
      </x:c>
      <x:c r="BH40" s="5" t="n">
        <x:v>0.1690882963436053</x:v>
      </x:c>
      <x:c r="BI40" s="5" t="n">
        <x:v>0.2764915642131034</x:v>
      </x:c>
      <x:c r="BJ40" s="5" t="n">
        <x:v>0.426526158922774</x:v>
      </x:c>
      <x:c r="BK40" s="5" t="n">
        <x:v>0.0089946245143435</x:v>
      </x:c>
      <x:c r="BL40" s="5" t="n">
        <x:v>0.03659055830539146</x:v>
      </x:c>
    </x:row>
    <x:row r="41">
      <x:c r="A41" s="3" t="n">
        <x:v>10001088</x:v>
      </x:c>
      <x:c r="B41" s="6" t="n">
        <x:v>45656</x:v>
      </x:c>
      <x:c r="C41" s="5" t="n">
        <x:v>35268.6</x:v>
      </x:c>
      <x:c r="D41" s="5" t="n">
        <x:v>19425.7</x:v>
      </x:c>
      <x:c r="E41" s="3" t="n">
        <x:v>6599</x:v>
      </x:c>
      <x:c r="F41" s="5" t="n">
        <x:v>6531.9</x:v>
      </x:c>
      <x:c r="G41" s="3" t="n">
        <x:v>2712</x:v>
      </x:c>
      <x:c r="H41" s="3" t="n"/>
      <x:c r="I41" s="3" t="n">
        <x:v>133786</x:v>
      </x:c>
      <x:c r="J41" s="5" t="n">
        <x:v>0.008954599135933506</x:v>
      </x:c>
      <x:c r="K41" s="5" t="n">
        <x:v>0.05430314083685887</x:v>
      </x:c>
      <x:c r="L41" s="5" t="n">
        <x:v>0.1994229590540116</x:v>
      </x:c>
      <x:c r="M41" s="5" t="n">
        <x:v>0.4949097812925119</x:v>
      </x:c>
      <x:c r="N41" s="5" t="n">
        <x:v>0.1747342771291465</x:v>
      </x:c>
      <x:c r="O41" s="5" t="n">
        <x:v>0.06767524255153753</x:v>
      </x:c>
      <x:c r="P41" s="3" t="n">
        <x:v>14</x:v>
      </x:c>
      <x:c r="Q41" s="3" t="n">
        <x:v>1</x:v>
      </x:c>
      <x:c r="R41" s="3" t="n">
        <x:v>0</x:v>
      </x:c>
      <x:c r="S41" s="3" t="n">
        <x:v>6</x:v>
      </x:c>
      <x:c r="T41" s="3" t="n">
        <x:v>3</x:v>
      </x:c>
      <x:c r="U41" s="3" t="n">
        <x:v>2</x:v>
      </x:c>
      <x:c r="V41" s="3" t="n">
        <x:v>2</x:v>
      </x:c>
      <x:c r="W41" s="3" t="n">
        <x:v>0</x:v>
      </x:c>
      <x:c r="X41" s="3" t="n">
        <x:v>1</x:v>
      </x:c>
      <x:c r="Y41" s="3" t="n">
        <x:v>0</x:v>
      </x:c>
      <x:c r="Z41" s="3" t="n">
        <x:v>202412</x:v>
      </x:c>
      <x:c r="AA41" s="3" t="n"/>
      <x:c r="AB41" s="5" t="n">
        <x:v>1232.566666666667</x:v>
      </x:c>
      <x:c r="AC41" s="5" t="n">
        <x:v>1384.2</x:v>
      </x:c>
      <x:c r="AD41" s="5" t="n">
        <x:v>1638.5</x:v>
      </x:c>
      <x:c r="AE41" s="3" t="n">
        <x:v>1804</x:v>
      </x:c>
      <x:c r="AF41" s="5" t="n">
        <x:v>1964.266666666667</x:v>
      </x:c>
      <x:c r="AG41" s="5" t="n">
        <x:v>2099.8</x:v>
      </x:c>
      <x:c r="AH41" s="5" t="n">
        <x:v>2266.933333333333</x:v>
      </x:c>
      <x:c r="AI41" s="5" t="n">
        <x:v>2281.933333333333</x:v>
      </x:c>
      <x:c r="AJ41" s="5" t="n">
        <x:v>2202.166666666667</x:v>
      </x:c>
      <x:c r="AK41" s="3" t="n">
        <x:v>1912</x:v>
      </x:c>
      <x:c r="AL41" s="5" t="n">
        <x:v>1887.433333333333</x:v>
      </x:c>
      <x:c r="AM41" s="5" t="n">
        <x:v>1781.833333333333</x:v>
      </x:c>
      <x:c r="AN41" s="3" t="n"/>
      <x:c r="AO41" s="3" t="n"/>
      <x:c r="AP41" s="3" t="n"/>
      <x:c r="AQ41" s="3" t="n"/>
      <x:c r="AR41" s="3" t="n"/>
      <x:c r="AS41" s="3" t="n"/>
      <x:c r="AT41" s="3" t="n"/>
      <x:c r="AU41" s="3" t="n"/>
      <x:c r="AV41" s="3" t="n"/>
      <x:c r="AW41" s="3" t="n"/>
      <x:c r="AX41" s="3" t="n"/>
      <x:c r="AY41" s="3" t="n"/>
      <x:c r="AZ41" s="3" t="n"/>
      <x:c r="BA41" s="3" t="n"/>
      <x:c r="BB41" s="3" t="n"/>
      <x:c r="BC41" s="3" t="n"/>
      <x:c r="BD41" s="3" t="n"/>
      <x:c r="BE41" s="3" t="n"/>
      <x:c r="BF41" s="3" t="n"/>
      <x:c r="BG41" s="3" t="n"/>
      <x:c r="BH41" s="3" t="n"/>
      <x:c r="BI41" s="3" t="n"/>
      <x:c r="BJ41" s="3" t="n"/>
      <x:c r="BK41" s="3" t="n"/>
      <x:c r="BL41" s="3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1" customWidth="1"/>
    <x:col min="3" max="3" width="19" customWidth="1"/>
    <x:col min="4" max="4" width="18" customWidth="1"/>
    <x:col min="5" max="5" width="18" customWidth="1"/>
    <x:col min="6" max="6" width="16" customWidth="1"/>
    <x:col min="7" max="7" width="16" customWidth="1"/>
    <x:col min="8" max="8" width="13" customWidth="1"/>
    <x:col min="9" max="9" width="12" customWidth="1"/>
    <x:col min="10" max="10" width="22" customWidth="1"/>
    <x:col min="11" max="11" width="21" customWidth="1"/>
    <x:col min="12" max="12" width="20" customWidth="1"/>
    <x:col min="13" max="13" width="20" customWidth="1"/>
    <x:col min="14" max="14" width="20" customWidth="1"/>
    <x:col min="15" max="15" width="21" customWidth="1"/>
    <x:col min="16" max="16" width="12" customWidth="1"/>
    <x:col min="17" max="17" width="13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9" customWidth="1"/>
    <x:col min="28" max="28" width="19" customWidth="1"/>
    <x:col min="29" max="29" width="19" customWidth="1"/>
    <x:col min="30" max="30" width="19" customWidth="1"/>
    <x:col min="31" max="31" width="19" customWidth="1"/>
    <x:col min="32" max="32" width="19" customWidth="1"/>
    <x:col min="33" max="33" width="19" customWidth="1"/>
    <x:col min="34" max="34" width="19" customWidth="1"/>
    <x:col min="35" max="35" width="19" customWidth="1"/>
    <x:col min="36" max="36" width="19" customWidth="1"/>
    <x:col min="37" max="37" width="19" customWidth="1"/>
    <x:col min="38" max="38" width="19" customWidth="1"/>
    <x:col min="39" max="39" width="19" customWidth="1"/>
    <x:col min="40" max="40" width="19" customWidth="1"/>
    <x:col min="41" max="41" width="19" customWidth="1"/>
    <x:col min="42" max="42" width="19" customWidth="1"/>
    <x:col min="43" max="43" width="19" customWidth="1"/>
    <x:col min="44" max="44" width="19" customWidth="1"/>
    <x:col min="45" max="45" width="20" customWidth="1"/>
    <x:col min="46" max="46" width="20" customWidth="1"/>
    <x:col min="47" max="47" width="20" customWidth="1"/>
    <x:col min="48" max="48" width="20" customWidth="1"/>
    <x:col min="49" max="49" width="21" customWidth="1"/>
    <x:col min="50" max="50" width="22" customWidth="1"/>
    <x:col min="51" max="51" width="23" customWidth="1"/>
    <x:col min="52" max="52" width="23" customWidth="1"/>
    <x:col min="53" max="53" width="19" customWidth="1"/>
    <x:col min="54" max="54" width="21" customWidth="1"/>
    <x:col min="55" max="55" width="21" customWidth="1"/>
    <x:col min="56" max="56" width="21" customWidth="1"/>
    <x:col min="57" max="57" width="21" customWidth="1"/>
    <x:col min="58" max="58" width="21" customWidth="1"/>
    <x:col min="59" max="59" width="21" customWidth="1"/>
    <x:col min="60" max="60" width="22" customWidth="1"/>
    <x:col min="61" max="61" width="22" customWidth="1"/>
    <x:col min="62" max="62" width="23" customWidth="1"/>
    <x:col min="63" max="63" width="23" customWidth="1"/>
    <x:col min="64" max="64" width="22" customWidth="1"/>
    <x:col min="65" max="65" width="12" customWidth="1"/>
    <x:col min="66" max="66" width="12" customWidth="1"/>
    <x:col min="67" max="67" width="12" customWidth="1"/>
    <x:col min="68" max="68" width="12" customWidth="1"/>
    <x:col min="69" max="69" width="19" customWidth="1"/>
    <x:col min="70" max="70" width="22" customWidth="1"/>
    <x:col min="71" max="71" width="21" customWidth="1"/>
    <x:col min="72" max="72" width="19" customWidth="1"/>
    <x:col min="73" max="73" width="19" customWidth="1"/>
    <x:col min="74" max="74" width="19" customWidth="1"/>
    <x:col min="75" max="75" width="19" customWidth="1"/>
    <x:col min="76" max="76" width="20" customWidth="1"/>
  </x:cols>
  <x:sheetData>
    <x:row r="1">
      <x:c r="A1" s="4" t="inlineStr">
        <x:is>
          <x:t xml:space="preserve">站点ID</x:t>
        </x:is>
      </x:c>
      <x:c r="B1" s="4" t="inlineStr">
        <x:is>
          <x:t xml:space="preserve">开站日期</x:t>
        </x:is>
      </x:c>
      <x:c r="C1" s="4" t="inlineStr">
        <x:is>
          <x:t xml:space="preserve">覆盖户数_合计</x:t>
        </x:is>
      </x:c>
      <x:c r="D1" s="4" t="inlineStr">
        <x:is>
          <x:t xml:space="preserve">覆盖户数_0~1.5km</x:t>
        </x:is>
      </x:c>
      <x:c r="E1" s="4" t="inlineStr">
        <x:is>
          <x:t xml:space="preserve">覆盖户数_1.5~2.1km</x:t>
        </x:is>
      </x:c>
      <x:c r="F1" s="4" t="inlineStr">
        <x:is>
          <x:t xml:space="preserve">覆盖户数_2.1~2.8km</x:t>
        </x:is>
      </x:c>
      <x:c r="G1" s="4" t="inlineStr">
        <x:is>
          <x:t xml:space="preserve">覆盖户数_2.8~3.8km</x:t>
        </x:is>
      </x:c>
      <x:c r="H1" s="4" t="inlineStr">
        <x:is>
          <x:t xml:space="preserve">覆盖户数_3.8km+</x:t>
        </x:is>
      </x:c>
      <x:c r="I1" s="4" t="inlineStr">
        <x:is>
          <x:t xml:space="preserve">美团月活</x:t>
        </x:is>
      </x:c>
      <x:c r="J1" s="4" t="inlineStr">
        <x:is>
          <x:t xml:space="preserve">月活L1占比</x:t>
        </x:is>
      </x:c>
      <x:c r="K1" s="4" t="inlineStr">
        <x:is>
          <x:t xml:space="preserve">月活L2占比</x:t>
        </x:is>
      </x:c>
      <x:c r="L1" s="4" t="inlineStr">
        <x:is>
          <x:t xml:space="preserve">月活L3占比</x:t>
        </x:is>
      </x:c>
      <x:c r="M1" s="4" t="inlineStr">
        <x:is>
          <x:t xml:space="preserve">月活L4占比</x:t>
        </x:is>
      </x:c>
      <x:c r="N1" s="4" t="inlineStr">
        <x:is>
          <x:t xml:space="preserve">月活L5占比</x:t>
        </x:is>
      </x:c>
      <x:c r="O1" s="4" t="inlineStr">
        <x:is>
          <x:t xml:space="preserve">月活精致度缺失占比</x:t>
        </x:is>
      </x:c>
      <x:c r="P1" s="4" t="inlineStr">
        <x:is>
          <x:t xml:space="preserve">商超总数</x:t>
        </x:is>
      </x:c>
      <x:c r="Q1" s="4" t="inlineStr">
        <x:is>
          <x:t xml:space="preserve">中大商超_仓储会员店数</x:t>
        </x:is>
      </x:c>
      <x:c r="R1" s="4" t="inlineStr">
        <x:is>
          <x:t xml:space="preserve">硬折扣超市数</x:t>
        </x:is>
      </x:c>
      <x:c r="S1" s="4" t="inlineStr">
        <x:is>
          <x:t xml:space="preserve">非生鲜食杂小店数</x:t>
        </x:is>
      </x:c>
      <x:c r="T1" s="4" t="inlineStr">
        <x:is>
          <x:t xml:space="preserve">农贸市场数</x:t>
        </x:is>
      </x:c>
      <x:c r="U1" s="4" t="inlineStr">
        <x:is>
          <x:t xml:space="preserve">社区超市数</x:t>
        </x:is>
      </x:c>
      <x:c r="V1" s="4" t="inlineStr">
        <x:is>
          <x:t xml:space="preserve">生鲜小店数</x:t>
        </x:is>
      </x:c>
      <x:c r="W1" s="4" t="inlineStr">
        <x:is>
          <x:t xml:space="preserve">SAM站数</x:t>
        </x:is>
      </x:c>
      <x:c r="X1" s="4" t="inlineStr">
        <x:is>
          <x:t xml:space="preserve">叮咚买菜站数</x:t>
        </x:is>
      </x:c>
      <x:c r="Y1" s="4" t="inlineStr">
        <x:is>
          <x:t xml:space="preserve">盒马鲜生站数</x:t>
        </x:is>
      </x:c>
      <x:c r="Z1" s="4" t="inlineStr">
        <x:is>
          <x:t xml:space="preserve">开站月份_x</x:t>
        </x:is>
      </x:c>
      <x:c r="AA1" s="4" t="inlineStr">
        <x:is>
          <x:t xml:space="preserve">M12_日均单量</x:t>
        </x:is>
      </x:c>
      <x:c r="AB1" s="4" t="inlineStr">
        <x:is>
          <x:t xml:space="preserve">轨迹_M0_日均单量</x:t>
        </x:is>
      </x:c>
      <x:c r="AC1" s="4" t="inlineStr">
        <x:is>
          <x:t xml:space="preserve">轨迹_M1_日均单量</x:t>
        </x:is>
      </x:c>
      <x:c r="AD1" s="4" t="inlineStr">
        <x:is>
          <x:t xml:space="preserve">轨迹_M2_日均单量</x:t>
        </x:is>
      </x:c>
      <x:c r="AE1" s="4" t="inlineStr">
        <x:is>
          <x:t xml:space="preserve">轨迹_M3_日均单量</x:t>
        </x:is>
      </x:c>
      <x:c r="AF1" s="4" t="inlineStr">
        <x:is>
          <x:t xml:space="preserve">轨迹_M4_日均单量</x:t>
        </x:is>
      </x:c>
      <x:c r="AG1" s="4" t="inlineStr">
        <x:is>
          <x:t xml:space="preserve">轨迹_M5_日均单量</x:t>
        </x:is>
      </x:c>
      <x:c r="AH1" s="4" t="inlineStr">
        <x:is>
          <x:t xml:space="preserve">轨迹_M6_日均单量</x:t>
        </x:is>
      </x:c>
      <x:c r="AI1" s="4" t="inlineStr">
        <x:is>
          <x:t xml:space="preserve">轨迹_M7_日均单量</x:t>
        </x:is>
      </x:c>
      <x:c r="AJ1" s="4" t="inlineStr">
        <x:is>
          <x:t xml:space="preserve">轨迹_M8_日均单量</x:t>
        </x:is>
      </x:c>
      <x:c r="AK1" s="4" t="inlineStr">
        <x:is>
          <x:t xml:space="preserve">轨迹_M9_日均单量</x:t>
        </x:is>
      </x:c>
      <x:c r="AL1" s="4" t="inlineStr">
        <x:is>
          <x:t xml:space="preserve">轨迹_M10_日均单量</x:t>
        </x:is>
      </x:c>
      <x:c r="AM1" s="4" t="inlineStr">
        <x:is>
          <x:t xml:space="preserve">轨迹_M11_日均单量</x:t>
        </x:is>
      </x:c>
      <x:c r="AN1" s="4" t="inlineStr">
        <x:is>
          <x:t xml:space="preserve">轨迹_M12_日均单量</x:t>
        </x:is>
      </x:c>
      <x:c r="AO1" s="4" t="inlineStr">
        <x:is>
          <x:t xml:space="preserve">M12_活跃度订单量_L5</x:t>
        </x:is>
      </x:c>
      <x:c r="AP1" s="4" t="inlineStr">
        <x:is>
          <x:t xml:space="preserve">M12_活跃度订单量_L4</x:t>
        </x:is>
      </x:c>
      <x:c r="AQ1" s="4" t="inlineStr">
        <x:is>
          <x:t xml:space="preserve">M12_活跃度订单量_L3</x:t>
        </x:is>
      </x:c>
      <x:c r="AR1" s="4" t="inlineStr">
        <x:is>
          <x:t xml:space="preserve">M12_活跃度订单量_L2</x:t>
        </x:is>
      </x:c>
      <x:c r="AS1" s="4" t="inlineStr">
        <x:is>
          <x:t xml:space="preserve">M12_活跃度订单量_L1</x:t>
        </x:is>
      </x:c>
      <x:c r="AT1" s="4" t="inlineStr">
        <x:is>
          <x:t xml:space="preserve">M12_活跃度订单量_精致度缺失</x:t>
        </x:is>
      </x:c>
      <x:c r="AU1" s="4" t="inlineStr">
        <x:is>
          <x:t xml:space="preserve">M12_活跃度订单占比_L5</x:t>
        </x:is>
      </x:c>
      <x:c r="AV1" s="4" t="inlineStr">
        <x:is>
          <x:t xml:space="preserve">M12_活跃度订单占比_L4</x:t>
        </x:is>
      </x:c>
      <x:c r="AW1" s="4" t="inlineStr">
        <x:is>
          <x:t xml:space="preserve">M12_活跃度订单占比_L3</x:t>
        </x:is>
      </x:c>
      <x:c r="AX1" s="4" t="inlineStr">
        <x:is>
          <x:t xml:space="preserve">M12_活跃度订单占比_L2</x:t>
        </x:is>
      </x:c>
      <x:c r="AY1" s="4" t="inlineStr">
        <x:is>
          <x:t xml:space="preserve">M12_活跃度订单占比_L1</x:t>
        </x:is>
      </x:c>
      <x:c r="AZ1" s="4" t="inlineStr">
        <x:is>
          <x:t xml:space="preserve">M12_活跃度订单占比_精致度缺失</x:t>
        </x:is>
      </x:c>
      <x:c r="BA1" s="4" t="inlineStr">
        <x:is>
          <x:t xml:space="preserve">M12_距离订单量_0~1.5km</x:t>
        </x:is>
      </x:c>
      <x:c r="BB1" s="4" t="inlineStr">
        <x:is>
          <x:t xml:space="preserve">M12_距离订单量_1.5~2.1km</x:t>
        </x:is>
      </x:c>
      <x:c r="BC1" s="4" t="inlineStr">
        <x:is>
          <x:t xml:space="preserve">M12_距离订单量_2.1~2.8km</x:t>
        </x:is>
      </x:c>
      <x:c r="BD1" s="4" t="inlineStr">
        <x:is>
          <x:t xml:space="preserve">M12_距离订单量_2.8~3.8km</x:t>
        </x:is>
      </x:c>
      <x:c r="BE1" s="4" t="inlineStr">
        <x:is>
          <x:t xml:space="preserve">M12_距离订单量_3.8km+</x:t>
        </x:is>
      </x:c>
      <x:c r="BF1" s="4" t="inlineStr">
        <x:is>
          <x:t xml:space="preserve">M12_距离订单量_自提或定位信息缺失</x:t>
        </x:is>
      </x:c>
      <x:c r="BG1" s="4" t="inlineStr">
        <x:is>
          <x:t xml:space="preserve">M12_距离订单占比_0~1.5km</x:t>
        </x:is>
      </x:c>
      <x:c r="BH1" s="4" t="inlineStr">
        <x:is>
          <x:t xml:space="preserve">M12_距离订单占比_1.5~2.1km</x:t>
        </x:is>
      </x:c>
      <x:c r="BI1" s="4" t="inlineStr">
        <x:is>
          <x:t xml:space="preserve">M12_距离订单占比_2.1~2.8km</x:t>
        </x:is>
      </x:c>
      <x:c r="BJ1" s="4" t="inlineStr">
        <x:is>
          <x:t xml:space="preserve">M12_距离订单占比_2.8~3.8km</x:t>
        </x:is>
      </x:c>
      <x:c r="BK1" s="4" t="inlineStr">
        <x:is>
          <x:t xml:space="preserve">M12_距离订单占比_3.8km+</x:t>
        </x:is>
      </x:c>
      <x:c r="BL1" s="4" t="inlineStr">
        <x:is>
          <x:t xml:space="preserve">M12_距离订单占比_自提或定位信息缺失</x:t>
        </x:is>
      </x:c>
      <x:c r="BM1" s="4" t="inlineStr">
        <x:is>
          <x:t xml:space="preserve">开站月份_y</x:t>
        </x:is>
      </x:c>
      <x:c r="BN1" s="4" t="inlineStr">
        <x:is>
          <x:t xml:space="preserve">样本月数</x:t>
        </x:is>
      </x:c>
      <x:c r="BO1" s="4" t="inlineStr">
        <x:is>
          <x:t xml:space="preserve">最小站龄月</x:t>
        </x:is>
      </x:c>
      <x:c r="BP1" s="4" t="inlineStr">
        <x:is>
          <x:t xml:space="preserve">最大站龄月</x:t>
        </x:is>
      </x:c>
      <x:c r="BQ1" s="4" t="inlineStr">
        <x:is>
          <x:t xml:space="preserve">回归截距</x:t>
        </x:is>
      </x:c>
      <x:c r="BR1" s="4" t="inlineStr">
        <x:is>
          <x:t xml:space="preserve">回归斜率_每增加1个站龄月日均单量增加值</x:t>
        </x:is>
      </x:c>
      <x:c r="BS1" s="4" t="inlineStr">
        <x:is>
          <x:t xml:space="preserve">相对月增长率_按预测M0口径</x:t>
        </x:is>
      </x:c>
      <x:c r="BT1" s="4" t="inlineStr">
        <x:is>
          <x:t xml:space="preserve">相对月增长率_按预测M0口径(%)</x:t>
        </x:is>
      </x:c>
      <x:c r="BU1" s="4" t="inlineStr">
        <x:is>
          <x:t xml:space="preserve">预测M0日均单量</x:t>
        </x:is>
      </x:c>
      <x:c r="BV1" s="4" t="inlineStr">
        <x:is>
          <x:t xml:space="preserve">预测首月样本点日均单量</x:t>
        </x:is>
      </x:c>
      <x:c r="BW1" s="4" t="inlineStr">
        <x:is>
          <x:t xml:space="preserve">预测末月样本点日均单量</x:t>
        </x:is>
      </x:c>
      <x:c r="BX1" s="4" t="inlineStr">
        <x:is>
          <x:t xml:space="preserve">R2</x:t>
        </x:is>
      </x:c>
    </x:row>
    <x:row r="2">
      <x:c r="A2" s="3" t="n">
        <x:v>10000688</x:v>
      </x:c>
      <x:c r="B2" s="6" t="n">
        <x:v>45038</x:v>
      </x:c>
      <x:c r="C2" s="5" t="n">
        <x:v>31818.2</x:v>
      </x:c>
      <x:c r="D2" s="5" t="n">
        <x:v>28682.6</x:v>
      </x:c>
      <x:c r="E2" s="5" t="n">
        <x:v>3135.6</x:v>
      </x:c>
      <x:c r="F2" s="3" t="n"/>
      <x:c r="G2" s="3" t="n"/>
      <x:c r="H2" s="3" t="n"/>
      <x:c r="I2" s="3" t="n">
        <x:v>139062</x:v>
      </x:c>
      <x:c r="J2" s="5" t="n">
        <x:v>0.005522716486171635</x:v>
      </x:c>
      <x:c r="K2" s="5" t="n">
        <x:v>0.05449367907839669</x:v>
      </x:c>
      <x:c r="L2" s="5" t="n">
        <x:v>0.1894478721721247</x:v>
      </x:c>
      <x:c r="M2" s="5" t="n">
        <x:v>0.4608448030374941</x:v>
      </x:c>
      <x:c r="N2" s="5" t="n">
        <x:v>0.1960132890365449</x:v>
      </x:c>
      <x:c r="O2" s="5" t="n">
        <x:v>0.09367764018926809</x:v>
      </x:c>
      <x:c r="P2" s="3" t="n">
        <x:v>42</x:v>
      </x:c>
      <x:c r="Q2" s="3" t="n">
        <x:v>6</x:v>
      </x:c>
      <x:c r="R2" s="3" t="n">
        <x:v>0</x:v>
      </x:c>
      <x:c r="S2" s="3" t="n">
        <x:v>21</x:v>
      </x:c>
      <x:c r="T2" s="3" t="n">
        <x:v>8</x:v>
      </x:c>
      <x:c r="U2" s="3" t="n">
        <x:v>6</x:v>
      </x:c>
      <x:c r="V2" s="3" t="n">
        <x:v>1</x:v>
      </x:c>
      <x:c r="W2" s="3" t="n">
        <x:v>0</x:v>
      </x:c>
      <x:c r="X2" s="3" t="n">
        <x:v>1</x:v>
      </x:c>
      <x:c r="Y2" s="3" t="n">
        <x:v>0</x:v>
      </x:c>
      <x:c r="Z2" s="3" t="n">
        <x:v>202304</x:v>
      </x:c>
      <x:c r="AA2" s="5" t="n">
        <x:v>1492.766666666667</x:v>
      </x:c>
      <x:c r="AB2" s="5" t="n">
        <x:v>1612.2</x:v>
      </x:c>
      <x:c r="AC2" s="5" t="n">
        <x:v>1511.966666666667</x:v>
      </x:c>
      <x:c r="AD2" s="5" t="n">
        <x:v>1471.666666666667</x:v>
      </x:c>
      <x:c r="AE2" s="5" t="n">
        <x:v>1524.9</x:v>
      </x:c>
      <x:c r="AF2" s="5" t="n">
        <x:v>1529.466666666667</x:v>
      </x:c>
      <x:c r="AG2" s="5" t="n">
        <x:v>1315.066666666667</x:v>
      </x:c>
      <x:c r="AH2" s="5" t="n">
        <x:v>1343.933333333333</x:v>
      </x:c>
      <x:c r="AI2" s="5" t="n">
        <x:v>1403.533333333333</x:v>
      </x:c>
      <x:c r="AJ2" s="5" t="n">
        <x:v>1366.333333333333</x:v>
      </x:c>
      <x:c r="AK2" s="5" t="n">
        <x:v>1108.333333333333</x:v>
      </x:c>
      <x:c r="AL2" s="5" t="n">
        <x:v>1394.266666666667</x:v>
      </x:c>
      <x:c r="AM2" s="5" t="n">
        <x:v>1469.866666666667</x:v>
      </x:c>
      <x:c r="AN2" s="5" t="n">
        <x:v>1492.766666666667</x:v>
      </x:c>
      <x:c r="AO2" s="5" t="n">
        <x:v>550.9333333333333</x:v>
      </x:c>
      <x:c r="AP2" s="5" t="n">
        <x:v>743.6333333333333</x:v>
      </x:c>
      <x:c r="AQ2" s="5" t="n">
        <x:v>152.4</x:v>
      </x:c>
      <x:c r="AR2" s="5" t="n">
        <x:v>33.1</x:v>
      </x:c>
      <x:c r="AS2" s="3" t="n">
        <x:v>3</x:v>
      </x:c>
      <x:c r="AT2" s="5" t="n">
        <x:v>9.699999999999999</x:v>
      </x:c>
      <x:c r="AU2" s="5" t="n">
        <x:v>0.3690686197887591</x:v>
      </x:c>
      <x:c r="AV2" s="5" t="n">
        <x:v>0.4981577830873323</x:v>
      </x:c>
      <x:c r="AW2" s="5" t="n">
        <x:v>0.1020923118147511</x:v>
      </x:c>
      <x:c r="AX2" s="5" t="n">
        <x:v>0.02217359265792823</x:v>
      </x:c>
      <x:c r="AY2" s="5" t="n">
        <x:v>0.002009691177455731</x:v>
      </x:c>
      <x:c r="AZ2" s="5" t="n">
        <x:v>0.00649800147377353</x:v>
      </x:c>
      <x:c r="BA2" s="5" t="n">
        <x:v>759.1333333333333</x:v>
      </x:c>
      <x:c r="BB2" s="5" t="n">
        <x:v>432.8</x:v>
      </x:c>
      <x:c r="BC2" s="3" t="n">
        <x:v>288</x:v>
      </x:c>
      <x:c r="BD2" s="5" t="n">
        <x:v>0.9</x:v>
      </x:c>
      <x:c r="BE2" s="3" t="n">
        <x:v>0</x:v>
      </x:c>
      <x:c r="BF2" s="5" t="n">
        <x:v>11.93333333333333</x:v>
      </x:c>
      <x:c r="BG2" s="5" t="n">
        <x:v>0.5085411875041869</x:v>
      </x:c>
      <x:c r="BH2" s="5" t="n">
        <x:v>0.2899314472009468</x:v>
      </x:c>
      <x:c r="BI2" s="5" t="n">
        <x:v>0.1929303530357502</x:v>
      </x:c>
      <x:c r="BJ2" s="5" t="n">
        <x:v>0.0006029073532367194</x:v>
      </x:c>
      <x:c r="BK2" s="3" t="n">
        <x:v>0</x:v>
      </x:c>
      <x:c r="BL2" s="5" t="n">
        <x:v>0.007994104905879464</x:v>
      </x:c>
      <x:c r="BM2" s="3" t="n">
        <x:v>202304</x:v>
      </x:c>
      <x:c r="BN2" s="3" t="n">
        <x:v>33</x:v>
      </x:c>
      <x:c r="BO2" s="3" t="n">
        <x:v>0</x:v>
      </x:c>
      <x:c r="BP2" s="3" t="n">
        <x:v>32</x:v>
      </x:c>
      <x:c r="BQ2" s="5" t="n">
        <x:v>1363.510338680927</x:v>
      </x:c>
      <x:c r="BR2" s="5" t="n">
        <x:v>15.00446746880568</x:v>
      </x:c>
      <x:c r="BS2" s="5" t="n">
        <x:v>0.0110042931418629</x:v>
      </x:c>
      <x:c r="BT2" s="5" t="n">
        <x:v>1.10042931418629</x:v>
      </x:c>
      <x:c r="BU2" s="5" t="n">
        <x:v>1363.510338680927</x:v>
      </x:c>
      <x:c r="BV2" s="5" t="n">
        <x:v>1363.510338680927</x:v>
      </x:c>
      <x:c r="BW2" s="5" t="n">
        <x:v>1843.653297682709</x:v>
      </x:c>
      <x:c r="BX2" s="5" t="n">
        <x:v>0.3780834310942728</x:v>
      </x:c>
    </x:row>
    <x:row r="3">
      <x:c r="A3" s="3" t="n">
        <x:v>10000691</x:v>
      </x:c>
      <x:c r="B3" s="6" t="n">
        <x:v>45044</x:v>
      </x:c>
      <x:c r="C3" s="5" t="n">
        <x:v>49139.5</x:v>
      </x:c>
      <x:c r="D3" s="5" t="n">
        <x:v>40674.3</x:v>
      </x:c>
      <x:c r="E3" s="5" t="n">
        <x:v>8465.200000000001</x:v>
      </x:c>
      <x:c r="F3" s="3" t="n"/>
      <x:c r="G3" s="3" t="n"/>
      <x:c r="H3" s="3" t="n"/>
      <x:c r="I3" s="3" t="n">
        <x:v>115490</x:v>
      </x:c>
      <x:c r="J3" s="5" t="n">
        <x:v>0.002363841025196987</x:v>
      </x:c>
      <x:c r="K3" s="5" t="n">
        <x:v>0.02853926746904494</x:v>
      </x:c>
      <x:c r="L3" s="5" t="n">
        <x:v>0.1365399601697117</x:v>
      </x:c>
      <x:c r="M3" s="5" t="n">
        <x:v>0.4753485150229457</x:v>
      </x:c>
      <x:c r="N3" s="5" t="n">
        <x:v>0.2727941813143995</x:v>
      </x:c>
      <x:c r="O3" s="5" t="n">
        <x:v>0.08441423499870118</x:v>
      </x:c>
      <x:c r="P3" s="3" t="n">
        <x:v>38</x:v>
      </x:c>
      <x:c r="Q3" s="3" t="n">
        <x:v>4</x:v>
      </x:c>
      <x:c r="R3" s="3" t="n">
        <x:v>1</x:v>
      </x:c>
      <x:c r="S3" s="3" t="n">
        <x:v>18</x:v>
      </x:c>
      <x:c r="T3" s="3" t="n">
        <x:v>4</x:v>
      </x:c>
      <x:c r="U3" s="3" t="n">
        <x:v>8</x:v>
      </x:c>
      <x:c r="V3" s="3" t="n">
        <x:v>3</x:v>
      </x:c>
      <x:c r="W3" s="3" t="n">
        <x:v>0</x:v>
      </x:c>
      <x:c r="X3" s="3" t="n">
        <x:v>1</x:v>
      </x:c>
      <x:c r="Y3" s="3" t="n">
        <x:v>0</x:v>
      </x:c>
      <x:c r="Z3" s="3" t="n">
        <x:v>202304</x:v>
      </x:c>
      <x:c r="AA3" s="5" t="n">
        <x:v>1149.3</x:v>
      </x:c>
      <x:c r="AB3" s="5" t="n">
        <x:v>1627.1</x:v>
      </x:c>
      <x:c r="AC3" s="5" t="n">
        <x:v>1063.8</x:v>
      </x:c>
      <x:c r="AD3" s="5" t="n">
        <x:v>1158.766666666667</x:v>
      </x:c>
      <x:c r="AE3" s="5" t="n">
        <x:v>1242.866666666667</x:v>
      </x:c>
      <x:c r="AF3" s="5" t="n">
        <x:v>1228.433333333333</x:v>
      </x:c>
      <x:c r="AG3" s="3" t="n">
        <x:v>1047</x:v>
      </x:c>
      <x:c r="AH3" s="5" t="n">
        <x:v>1086.1</x:v>
      </x:c>
      <x:c r="AI3" s="5" t="n">
        <x:v>1165.266666666667</x:v>
      </x:c>
      <x:c r="AJ3" s="5" t="n">
        <x:v>1099.433333333333</x:v>
      </x:c>
      <x:c r="AK3" s="5" t="n">
        <x:v>946.2</x:v>
      </x:c>
      <x:c r="AL3" s="5" t="n">
        <x:v>1110.7</x:v>
      </x:c>
      <x:c r="AM3" s="5" t="n">
        <x:v>1176.566666666667</x:v>
      </x:c>
      <x:c r="AN3" s="5" t="n">
        <x:v>1149.3</x:v>
      </x:c>
      <x:c r="AO3" s="5" t="n">
        <x:v>502.6</x:v>
      </x:c>
      <x:c r="AP3" s="5" t="n">
        <x:v>541.2333333333333</x:v>
      </x:c>
      <x:c r="AQ3" s="5" t="n">
        <x:v>83.33333333333333</x:v>
      </x:c>
      <x:c r="AR3" s="5" t="n">
        <x:v>13.63333333333333</x:v>
      </x:c>
      <x:c r="AS3" s="5" t="n">
        <x:v>1.033333333333333</x:v>
      </x:c>
      <x:c r="AT3" s="5" t="n">
        <x:v>7.466666666666667</x:v>
      </x:c>
      <x:c r="AU3" s="5" t="n">
        <x:v>0.4373096667536762</x:v>
      </x:c>
      <x:c r="AV3" s="5" t="n">
        <x:v>0.470924330752052</x:v>
      </x:c>
      <x:c r="AW3" s="5" t="n">
        <x:v>0.0725079033614664</x:v>
      </x:c>
      <x:c r="AX3" s="5" t="n">
        <x:v>0.0118622929899359</x:v>
      </x:c>
      <x:c r="AY3" s="5" t="n">
        <x:v>0.0008990980016821834</x:v>
      </x:c>
      <x:c r="AZ3" s="5" t="n">
        <x:v>0.006496708141187389</x:v>
      </x:c>
      <x:c r="BA3" s="5" t="n">
        <x:v>663.0333333333333</x:v>
      </x:c>
      <x:c r="BB3" s="5" t="n">
        <x:v>400.7</x:v>
      </x:c>
      <x:c r="BC3" s="5" t="n">
        <x:v>65.76666666666667</x:v>
      </x:c>
      <x:c r="BD3" s="5" t="n">
        <x:v>0.03333333333333333</x:v>
      </x:c>
      <x:c r="BE3" s="3" t="n">
        <x:v>0</x:v>
      </x:c>
      <x:c r="BF3" s="5" t="n">
        <x:v>19.76666666666667</x:v>
      </x:c>
      <x:c r="BG3" s="5" t="n">
        <x:v>0.5769018823051713</x:v>
      </x:c>
      <x:c r="BH3" s="5" t="n">
        <x:v>0.348647002523275</x:v>
      </x:c>
      <x:c r="BI3" s="5" t="n">
        <x:v>0.05722323733286928</x:v>
      </x:c>
      <x:c r="BJ3" s="5" t="n">
        <x:v>2.900316134458656e-05</x:v>
      </x:c>
      <x:c r="BK3" s="3" t="n">
        <x:v>0</x:v>
      </x:c>
      <x:c r="BL3" s="5" t="n">
        <x:v>0.01719887467733983</x:v>
      </x:c>
      <x:c r="BM3" s="3" t="n">
        <x:v>202304</x:v>
      </x:c>
      <x:c r="BN3" s="3" t="n">
        <x:v>33</x:v>
      </x:c>
      <x:c r="BO3" s="3" t="n">
        <x:v>0</x:v>
      </x:c>
      <x:c r="BP3" s="3" t="n">
        <x:v>32</x:v>
      </x:c>
      <x:c r="BQ3" s="5" t="n">
        <x:v>1031.131016042781</x:v>
      </x:c>
      <x:c r="BR3" s="5" t="n">
        <x:v>26.75809937611408</x:v>
      </x:c>
      <x:c r="BS3" s="5" t="n">
        <x:v>0.02595024197681966</x:v>
      </x:c>
      <x:c r="BT3" s="5" t="n">
        <x:v>2.595024197681966</x:v>
      </x:c>
      <x:c r="BU3" s="5" t="n">
        <x:v>1031.131016042781</x:v>
      </x:c>
      <x:c r="BV3" s="5" t="n">
        <x:v>1031.131016042781</x:v>
      </x:c>
      <x:c r="BW3" s="5" t="n">
        <x:v>1887.390196078431</x:v>
      </x:c>
      <x:c r="BX3" s="5" t="n">
        <x:v>0.6125808524246308</x:v>
      </x:c>
    </x:row>
    <x:row r="4">
      <x:c r="A4" s="3" t="n">
        <x:v>10000692</x:v>
      </x:c>
      <x:c r="B4" s="6" t="n">
        <x:v>45059</x:v>
      </x:c>
      <x:c r="C4" s="5" t="n">
        <x:v>56854.6</x:v>
      </x:c>
      <x:c r="D4" s="5" t="n">
        <x:v>44388.2</x:v>
      </x:c>
      <x:c r="E4" s="5" t="n">
        <x:v>12466.4</x:v>
      </x:c>
      <x:c r="F4" s="3" t="n"/>
      <x:c r="G4" s="3" t="n"/>
      <x:c r="H4" s="3" t="n"/>
      <x:c r="I4" s="3" t="n">
        <x:v>155814</x:v>
      </x:c>
      <x:c r="J4" s="5" t="n">
        <x:v>0.003510595966986278</x:v>
      </x:c>
      <x:c r="K4" s="5" t="n">
        <x:v>0.03577984006571938</x:v>
      </x:c>
      <x:c r="L4" s="5" t="n">
        <x:v>0.1506154774282157</x:v>
      </x:c>
      <x:c r="M4" s="5" t="n">
        <x:v>0.4537589690271734</x:v>
      </x:c>
      <x:c r="N4" s="5" t="n">
        <x:v>0.2286572451769417</x:v>
      </x:c>
      <x:c r="O4" s="5" t="n">
        <x:v>0.1276778723349635</x:v>
      </x:c>
      <x:c r="P4" s="3" t="n">
        <x:v>43</x:v>
      </x:c>
      <x:c r="Q4" s="3" t="n">
        <x:v>2</x:v>
      </x:c>
      <x:c r="R4" s="3" t="n">
        <x:v>0</x:v>
      </x:c>
      <x:c r="S4" s="3" t="n">
        <x:v>23</x:v>
      </x:c>
      <x:c r="T4" s="3" t="n">
        <x:v>8</x:v>
      </x:c>
      <x:c r="U4" s="3" t="n">
        <x:v>7</x:v>
      </x:c>
      <x:c r="V4" s="3" t="n">
        <x:v>3</x:v>
      </x:c>
      <x:c r="W4" s="3" t="n">
        <x:v>1</x:v>
      </x:c>
      <x:c r="X4" s="3" t="n">
        <x:v>2</x:v>
      </x:c>
      <x:c r="Y4" s="3" t="n">
        <x:v>0</x:v>
      </x:c>
      <x:c r="Z4" s="3" t="n">
        <x:v>202305</x:v>
      </x:c>
      <x:c r="AA4" s="5" t="n">
        <x:v>1449.866666666667</x:v>
      </x:c>
      <x:c r="AB4" s="5" t="n">
        <x:v>1582.6</x:v>
      </x:c>
      <x:c r="AC4" s="5" t="n">
        <x:v>1232.166666666667</x:v>
      </x:c>
      <x:c r="AD4" s="3" t="n">
        <x:v>1146</x:v>
      </x:c>
      <x:c r="AE4" s="5" t="n">
        <x:v>1167.5</x:v>
      </x:c>
      <x:c r="AF4" s="5" t="n">
        <x:v>1160.466666666667</x:v>
      </x:c>
      <x:c r="AG4" s="5" t="n">
        <x:v>1044.033333333333</x:v>
      </x:c>
      <x:c r="AH4" s="5" t="n">
        <x:v>1172.633333333333</x:v>
      </x:c>
      <x:c r="AI4" s="5" t="n">
        <x:v>1280.9</x:v>
      </x:c>
      <x:c r="AJ4" s="5" t="n">
        <x:v>1168.466666666667</x:v>
      </x:c>
      <x:c r="AK4" s="5" t="n">
        <x:v>1171.966666666667</x:v>
      </x:c>
      <x:c r="AL4" s="5" t="n">
        <x:v>1321.433333333333</x:v>
      </x:c>
      <x:c r="AM4" s="5" t="n">
        <x:v>1391.833333333333</x:v>
      </x:c>
      <x:c r="AN4" s="5" t="n">
        <x:v>1449.866666666667</x:v>
      </x:c>
      <x:c r="AO4" s="5" t="n">
        <x:v>652.7333333333333</x:v>
      </x:c>
      <x:c r="AP4" s="5" t="n">
        <x:v>659.4333333333333</x:v>
      </x:c>
      <x:c r="AQ4" s="5" t="n">
        <x:v>103.4</x:v>
      </x:c>
      <x:c r="AR4" s="5" t="n">
        <x:v>20.4</x:v>
      </x:c>
      <x:c r="AS4" s="5" t="n">
        <x:v>2.766666666666667</x:v>
      </x:c>
      <x:c r="AT4" s="5" t="n">
        <x:v>11.13333333333333</x:v>
      </x:c>
      <x:c r="AU4" s="5" t="n">
        <x:v>0.4502023174544786</x:v>
      </x:c>
      <x:c r="AV4" s="5" t="n">
        <x:v>0.4548234320397278</x:v>
      </x:c>
      <x:c r="AW4" s="5" t="n">
        <x:v>0.07131690270369689</x:v>
      </x:c>
      <x:c r="AX4" s="5" t="n">
        <x:v>0.01407025933419165</x:v>
      </x:c>
      <x:c r="AY4" s="5" t="n">
        <x:v>0.001908221445650175</x:v>
      </x:c>
      <x:c r="AZ4" s="5" t="n">
        <x:v>0.00767886702225492</x:v>
      </x:c>
      <x:c r="BA4" s="5" t="n">
        <x:v>408.2333333333333</x:v>
      </x:c>
      <x:c r="BB4" s="5" t="n">
        <x:v>588.1333333333333</x:v>
      </x:c>
      <x:c r="BC4" s="5" t="n">
        <x:v>318.4666666666666</x:v>
      </x:c>
      <x:c r="BD4" s="5" t="n">
        <x:v>109.0666666666667</x:v>
      </x:c>
      <x:c r="BE4" s="3" t="n">
        <x:v>0</x:v>
      </x:c>
      <x:c r="BF4" s="5" t="n">
        <x:v>25.96666666666667</x:v>
      </x:c>
      <x:c r="BG4" s="5" t="n">
        <x:v>0.2815661210226228</x:v>
      </x:c>
      <x:c r="BH4" s="5" t="n">
        <x:v>0.4056464962295384</x:v>
      </x:c>
      <x:c r="BI4" s="5" t="n">
        <x:v>0.2196523818282141</x:v>
      </x:c>
      <x:c r="BJ4" s="5" t="n">
        <x:v>0.07522530807430569</x:v>
      </x:c>
      <x:c r="BK4" s="3" t="n">
        <x:v>0</x:v>
      </x:c>
      <x:c r="BL4" s="5" t="n">
        <x:v>0.01790969284531911</x:v>
      </x:c>
      <x:c r="BM4" s="3" t="n">
        <x:v>202305</x:v>
      </x:c>
      <x:c r="BN4" s="3" t="n">
        <x:v>32</x:v>
      </x:c>
      <x:c r="BO4" s="3" t="n">
        <x:v>0</x:v>
      </x:c>
      <x:c r="BP4" s="3" t="n">
        <x:v>31</x:v>
      </x:c>
      <x:c r="BQ4" s="5" t="n">
        <x:v>1092.561742424242</x:v>
      </x:c>
      <x:c r="BR4" s="5" t="n">
        <x:v>33.56664833822095</x:v>
      </x:c>
      <x:c r="BS4" s="5" t="n">
        <x:v>0.03072288460672369</x:v>
      </x:c>
      <x:c r="BT4" s="5" t="n">
        <x:v>3.072288460672369</x:v>
      </x:c>
      <x:c r="BU4" s="5" t="n">
        <x:v>1092.561742424242</x:v>
      </x:c>
      <x:c r="BV4" s="5" t="n">
        <x:v>1092.561742424242</x:v>
      </x:c>
      <x:c r="BW4" s="5" t="n">
        <x:v>2133.127840909091</x:v>
      </x:c>
      <x:c r="BX4" s="5" t="n">
        <x:v>0.7016810137480547</x:v>
      </x:c>
    </x:row>
    <x:row r="5">
      <x:c r="A5" s="3" t="n">
        <x:v>10000693</x:v>
      </x:c>
      <x:c r="B5" s="6" t="n">
        <x:v>45065</x:v>
      </x:c>
      <x:c r="C5" s="5" t="n">
        <x:v>30710.2</x:v>
      </x:c>
      <x:c r="D5" s="5" t="n">
        <x:v>16566.2</x:v>
      </x:c>
      <x:c r="E5" s="3" t="n">
        <x:v>12228</x:v>
      </x:c>
      <x:c r="F5" s="3" t="n">
        <x:v>1916</x:v>
      </x:c>
      <x:c r="G5" s="3" t="n"/>
      <x:c r="H5" s="3" t="n"/>
      <x:c r="I5" s="3" t="n">
        <x:v>106703</x:v>
      </x:c>
      <x:c r="J5" s="5" t="n">
        <x:v>0.005482507520875702</x:v>
      </x:c>
      <x:c r="K5" s="5" t="n">
        <x:v>0.06126350711788797</x:v>
      </x:c>
      <x:c r="L5" s="5" t="n">
        <x:v>0.207876067214605</x:v>
      </x:c>
      <x:c r="M5" s="5" t="n">
        <x:v>0.4638201362660844</x:v>
      </x:c>
      <x:c r="N5" s="5" t="n">
        <x:v>0.1839310984695838</x:v>
      </x:c>
      <x:c r="O5" s="5" t="n">
        <x:v>0.07762668341096314</x:v>
      </x:c>
      <x:c r="P5" s="3" t="n">
        <x:v>22</x:v>
      </x:c>
      <x:c r="Q5" s="3" t="n">
        <x:v>3</x:v>
      </x:c>
      <x:c r="R5" s="3" t="n">
        <x:v>0</x:v>
      </x:c>
      <x:c r="S5" s="3" t="n">
        <x:v>11</x:v>
      </x:c>
      <x:c r="T5" s="3" t="n">
        <x:v>4</x:v>
      </x:c>
      <x:c r="U5" s="3" t="n">
        <x:v>3</x:v>
      </x:c>
      <x:c r="V5" s="3" t="n">
        <x:v>1</x:v>
      </x:c>
      <x:c r="W5" s="3" t="n">
        <x:v>0</x:v>
      </x:c>
      <x:c r="X5" s="3" t="n">
        <x:v>0</x:v>
      </x:c>
      <x:c r="Y5" s="3" t="n">
        <x:v>0</x:v>
      </x:c>
      <x:c r="Z5" s="3" t="n">
        <x:v>202305</x:v>
      </x:c>
      <x:c r="AA5" s="5" t="n">
        <x:v>1339.5</x:v>
      </x:c>
      <x:c r="AB5" s="5" t="n">
        <x:v>1852.333333333333</x:v>
      </x:c>
      <x:c r="AC5" s="5" t="n">
        <x:v>1372.766666666667</x:v>
      </x:c>
      <x:c r="AD5" s="5" t="n">
        <x:v>1437.666666666667</x:v>
      </x:c>
      <x:c r="AE5" s="5" t="n">
        <x:v>1379.466666666667</x:v>
      </x:c>
      <x:c r="AF5" s="5" t="n">
        <x:v>1220.5</x:v>
      </x:c>
      <x:c r="AG5" s="5" t="n">
        <x:v>1290.866666666667</x:v>
      </x:c>
      <x:c r="AH5" s="5" t="n">
        <x:v>1253.766666666667</x:v>
      </x:c>
      <x:c r="AI5" s="5" t="n">
        <x:v>1296.933333333333</x:v>
      </x:c>
      <x:c r="AJ5" s="5" t="n">
        <x:v>1095.7</x:v>
      </x:c>
      <x:c r="AK5" s="5" t="n">
        <x:v>1252.7</x:v>
      </x:c>
      <x:c r="AL5" s="5" t="n">
        <x:v>1401.533333333333</x:v>
      </x:c>
      <x:c r="AM5" s="5" t="n">
        <x:v>1514.466666666667</x:v>
      </x:c>
      <x:c r="AN5" s="5" t="n">
        <x:v>1339.5</x:v>
      </x:c>
      <x:c r="AO5" s="5" t="n">
        <x:v>402.2666666666667</x:v>
      </x:c>
      <x:c r="AP5" s="5" t="n">
        <x:v>683.3666666666667</x:v>
      </x:c>
      <x:c r="AQ5" s="5" t="n">
        <x:v>199.2333333333333</x:v>
      </x:c>
      <x:c r="AR5" s="5" t="n">
        <x:v>40.83333333333334</x:v>
      </x:c>
      <x:c r="AS5" s="5" t="n">
        <x:v>3.2</x:v>
      </x:c>
      <x:c r="AT5" s="5" t="n">
        <x:v>10.6</x:v>
      </x:c>
      <x:c r="AU5" s="5" t="n">
        <x:v>0.3003110613412965</x:v>
      </x:c>
      <x:c r="AV5" s="5" t="n">
        <x:v>0.5101654846335697</x:v>
      </x:c>
      <x:c r="AW5" s="5" t="n">
        <x:v>0.1487370909543362</x:v>
      </x:c>
      <x:c r="AX5" s="5" t="n">
        <x:v>0.03048401144705736</x:v>
      </x:c>
      <x:c r="AY5" s="5" t="n">
        <x:v>0.002388951101157148</x:v>
      </x:c>
      <x:c r="AZ5" s="5" t="n">
        <x:v>0.007913400522583052</x:v>
      </x:c>
      <x:c r="BA5" s="5" t="n">
        <x:v>348.7666666666667</x:v>
      </x:c>
      <x:c r="BB5" s="5" t="n">
        <x:v>392.9333333333333</x:v>
      </x:c>
      <x:c r="BC5" s="5" t="n">
        <x:v>308.5</x:v>
      </x:c>
      <x:c r="BD5" s="5" t="n">
        <x:v>261.7</x:v>
      </x:c>
      <x:c r="BE5" s="3" t="n">
        <x:v>1</x:v>
      </x:c>
      <x:c r="BF5" s="5" t="n">
        <x:v>26.6</x:v>
      </x:c>
      <x:c r="BG5" s="5" t="n">
        <x:v>0.2603707851188254</x:v>
      </x:c>
      <x:c r="BH5" s="5" t="n">
        <x:v>0.2933432872962548</x:v>
      </x:c>
      <x:c r="BI5" s="5" t="n">
        <x:v>0.2303098170959313</x:v>
      </x:c>
      <x:c r="BJ5" s="5" t="n">
        <x:v>0.195371407241508</x:v>
      </x:c>
      <x:c r="BK5" s="5" t="n">
        <x:v>0.0007465472191116088</x:v>
      </x:c>
      <x:c r="BL5" s="5" t="n">
        <x:v>0.0198581560283688</x:v>
      </x:c>
      <x:c r="BM5" s="3" t="n">
        <x:v>202305</x:v>
      </x:c>
      <x:c r="BN5" s="3" t="n">
        <x:v>32</x:v>
      </x:c>
      <x:c r="BO5" s="3" t="n">
        <x:v>0</x:v>
      </x:c>
      <x:c r="BP5" s="3" t="n">
        <x:v>31</x:v>
      </x:c>
      <x:c r="BQ5" s="5" t="n">
        <x:v>1240.027272727272</x:v>
      </x:c>
      <x:c r="BR5" s="5" t="n">
        <x:v>21.07095552297168</x:v>
      </x:c>
      <x:c r="BS5" s="5" t="n">
        <x:v>0.01699233233526305</x:v>
      </x:c>
      <x:c r="BT5" s="5" t="n">
        <x:v>1.699233233526305</x:v>
      </x:c>
      <x:c r="BU5" s="5" t="n">
        <x:v>1240.027272727272</x:v>
      </x:c>
      <x:c r="BV5" s="5" t="n">
        <x:v>1240.027272727272</x:v>
      </x:c>
      <x:c r="BW5" s="5" t="n">
        <x:v>1893.226893939394</x:v>
      </x:c>
      <x:c r="BX5" s="5" t="n">
        <x:v>0.3996691138438618</x:v>
      </x:c>
    </x:row>
    <x:row r="6">
      <x:c r="A6" s="3" t="n">
        <x:v>10000694</x:v>
      </x:c>
      <x:c r="B6" s="6" t="n">
        <x:v>45065</x:v>
      </x:c>
      <x:c r="C6" s="3" t="n">
        <x:v>37991</x:v>
      </x:c>
      <x:c r="D6" s="5" t="n">
        <x:v>22733.2</x:v>
      </x:c>
      <x:c r="E6" s="5" t="n">
        <x:v>8142.9</x:v>
      </x:c>
      <x:c r="F6" s="5" t="n">
        <x:v>4051.8</x:v>
      </x:c>
      <x:c r="G6" s="5" t="n">
        <x:v>3063.1</x:v>
      </x:c>
      <x:c r="H6" s="3" t="n"/>
      <x:c r="I6" s="3" t="n">
        <x:v>128931</x:v>
      </x:c>
      <x:c r="J6" s="5" t="n">
        <x:v>0.01058705819391768</x:v>
      </x:c>
      <x:c r="K6" s="5" t="n">
        <x:v>0.07182911790027224</x:v>
      </x:c>
      <x:c r="L6" s="5" t="n">
        <x:v>0.2012782030698591</x:v>
      </x:c>
      <x:c r="M6" s="5" t="n">
        <x:v>0.4494962421760477</x:v>
      </x:c>
      <x:c r="N6" s="5" t="n">
        <x:v>0.188403099332201</x:v>
      </x:c>
      <x:c r="O6" s="5" t="n">
        <x:v>0.07840627932770242</x:v>
      </x:c>
      <x:c r="P6" s="3" t="n">
        <x:v>20</x:v>
      </x:c>
      <x:c r="Q6" s="3" t="n">
        <x:v>5</x:v>
      </x:c>
      <x:c r="R6" s="3" t="n">
        <x:v>0</x:v>
      </x:c>
      <x:c r="S6" s="3" t="n">
        <x:v>8</x:v>
      </x:c>
      <x:c r="T6" s="3" t="n">
        <x:v>2</x:v>
      </x:c>
      <x:c r="U6" s="3" t="n">
        <x:v>2</x:v>
      </x:c>
      <x:c r="V6" s="3" t="n">
        <x:v>3</x:v>
      </x:c>
      <x:c r="W6" s="3" t="n">
        <x:v>1</x:v>
      </x:c>
      <x:c r="X6" s="3" t="n">
        <x:v>2</x:v>
      </x:c>
      <x:c r="Y6" s="3" t="n">
        <x:v>0</x:v>
      </x:c>
      <x:c r="Z6" s="3" t="n">
        <x:v>202305</x:v>
      </x:c>
      <x:c r="AA6" s="5" t="n">
        <x:v>1337.933333333333</x:v>
      </x:c>
      <x:c r="AB6" s="5" t="n">
        <x:v>1495.966666666667</x:v>
      </x:c>
      <x:c r="AC6" s="5" t="n">
        <x:v>1112.233333333333</x:v>
      </x:c>
      <x:c r="AD6" s="5" t="n">
        <x:v>1240.033333333333</x:v>
      </x:c>
      <x:c r="AE6" s="5" t="n">
        <x:v>1331.733333333333</x:v>
      </x:c>
      <x:c r="AF6" s="5" t="n">
        <x:v>1184.1</x:v>
      </x:c>
      <x:c r="AG6" s="5" t="n">
        <x:v>1197.033333333333</x:v>
      </x:c>
      <x:c r="AH6" s="5" t="n">
        <x:v>1105.066666666667</x:v>
      </x:c>
      <x:c r="AI6" s="5" t="n">
        <x:v>1162.6</x:v>
      </x:c>
      <x:c r="AJ6" s="5" t="n">
        <x:v>992.4333333333333</x:v>
      </x:c>
      <x:c r="AK6" s="5" t="n">
        <x:v>1108.6</x:v>
      </x:c>
      <x:c r="AL6" s="5" t="n">
        <x:v>1244.933333333333</x:v>
      </x:c>
      <x:c r="AM6" s="5" t="n">
        <x:v>1294.2</x:v>
      </x:c>
      <x:c r="AN6" s="5" t="n">
        <x:v>1337.933333333333</x:v>
      </x:c>
      <x:c r="AO6" s="5" t="n">
        <x:v>526.2666666666667</x:v>
      </x:c>
      <x:c r="AP6" s="5" t="n">
        <x:v>651.3</x:v>
      </x:c>
      <x:c r="AQ6" s="5" t="n">
        <x:v>128.7</x:v>
      </x:c>
      <x:c r="AR6" s="5" t="n">
        <x:v>22.4</x:v>
      </x:c>
      <x:c r="AS6" s="5" t="n">
        <x:v>1.5</x:v>
      </x:c>
      <x:c r="AT6" s="5" t="n">
        <x:v>7.766666666666667</x:v>
      </x:c>
      <x:c r="AU6" s="5" t="n">
        <x:v>0.3933429667646619</x:v>
      </x:c>
      <x:c r="AV6" s="5" t="n">
        <x:v>0.4867955553340973</x:v>
      </x:c>
      <x:c r="AW6" s="5" t="n">
        <x:v>0.09619313368877372</x:v>
      </x:c>
      <x:c r="AX6" s="5" t="n">
        <x:v>0.01674223927450296</x:v>
      </x:c>
      <x:c r="AY6" s="5" t="n">
        <x:v>0.001121132094274752</x:v>
      </x:c>
      <x:c r="AZ6" s="5" t="n">
        <x:v>0.005804972843689271</x:v>
      </x:c>
      <x:c r="BA6" s="5" t="n">
        <x:v>648.6333333333333</x:v>
      </x:c>
      <x:c r="BB6" s="5" t="n">
        <x:v>252.6333333333333</x:v>
      </x:c>
      <x:c r="BC6" s="5" t="n">
        <x:v>269.7666666666667</x:v>
      </x:c>
      <x:c r="BD6" s="5" t="n">
        <x:v>136.3333333333333</x:v>
      </x:c>
      <x:c r="BE6" s="5" t="n">
        <x:v>4.3</x:v>
      </x:c>
      <x:c r="BF6" s="5" t="n">
        <x:v>26.26666666666667</x:v>
      </x:c>
      <x:c r="BG6" s="5" t="n">
        <x:v>0.4848024316109422</x:v>
      </x:c>
      <x:c r="BH6" s="5" t="n">
        <x:v>0.1888235587224077</x:v>
      </x:c>
      <x:c r="BI6" s="5" t="n">
        <x:v>0.2016293786436793</x:v>
      </x:c>
      <x:c r="BJ6" s="5" t="n">
        <x:v>0.1018984503463052</x:v>
      </x:c>
      <x:c r="BK6" s="5" t="n">
        <x:v>0.003213912003587623</x:v>
      </x:c>
      <x:c r="BL6" s="5" t="n">
        <x:v>0.01963226867307788</x:v>
      </x:c>
      <x:c r="BM6" s="3" t="n">
        <x:v>202305</x:v>
      </x:c>
      <x:c r="BN6" s="3" t="n">
        <x:v>32</x:v>
      </x:c>
      <x:c r="BO6" s="3" t="n">
        <x:v>0</x:v>
      </x:c>
      <x:c r="BP6" s="3" t="n">
        <x:v>31</x:v>
      </x:c>
      <x:c r="BQ6" s="5" t="n">
        <x:v>1079.726136363635</x:v>
      </x:c>
      <x:c r="BR6" s="5" t="n">
        <x:v>31.27082722385143</x:v>
      </x:c>
      <x:c r="BS6" s="5" t="n">
        <x:v>0.02896181371432495</x:v>
      </x:c>
      <x:c r="BT6" s="5" t="n">
        <x:v>2.896181371432495</x:v>
      </x:c>
      <x:c r="BU6" s="5" t="n">
        <x:v>1079.726136363635</x:v>
      </x:c>
      <x:c r="BV6" s="5" t="n">
        <x:v>1079.726136363635</x:v>
      </x:c>
      <x:c r="BW6" s="5" t="n">
        <x:v>2049.121780303029</x:v>
      </x:c>
      <x:c r="BX6" s="5" t="n">
        <x:v>0.6546905525703505</x:v>
      </x:c>
    </x:row>
    <x:row r="7">
      <x:c r="A7" s="3" t="n">
        <x:v>10000695</x:v>
      </x:c>
      <x:c r="B7" s="6" t="n">
        <x:v>45057</x:v>
      </x:c>
      <x:c r="C7" s="5" t="n">
        <x:v>54262.9</x:v>
      </x:c>
      <x:c r="D7" s="5" t="n">
        <x:v>26967.5</x:v>
      </x:c>
      <x:c r="E7" s="5" t="n">
        <x:v>10413.9</x:v>
      </x:c>
      <x:c r="F7" s="5" t="n">
        <x:v>10211.5</x:v>
      </x:c>
      <x:c r="G7" s="3" t="n">
        <x:v>6670</x:v>
      </x:c>
      <x:c r="H7" s="3" t="n"/>
      <x:c r="I7" s="3" t="n">
        <x:v>149341</x:v>
      </x:c>
      <x:c r="J7" s="5" t="n">
        <x:v>0.003060110753242579</x:v>
      </x:c>
      <x:c r="K7" s="5" t="n">
        <x:v>0.04038408742408314</x:v>
      </x:c>
      <x:c r="L7" s="5" t="n">
        <x:v>0.1577195813607783</x:v>
      </x:c>
      <x:c r="M7" s="5" t="n">
        <x:v>0.4769956006722869</x:v>
      </x:c>
      <x:c r="N7" s="5" t="n">
        <x:v>0.2517727884505929</x:v>
      </x:c>
      <x:c r="O7" s="5" t="n">
        <x:v>0.07006783133901608</x:v>
      </x:c>
      <x:c r="P7" s="3" t="n">
        <x:v>37</x:v>
      </x:c>
      <x:c r="Q7" s="3" t="n">
        <x:v>2</x:v>
      </x:c>
      <x:c r="R7" s="3" t="n">
        <x:v>0</x:v>
      </x:c>
      <x:c r="S7" s="3" t="n">
        <x:v>22</x:v>
      </x:c>
      <x:c r="T7" s="3" t="n">
        <x:v>2</x:v>
      </x:c>
      <x:c r="U7" s="3" t="n">
        <x:v>7</x:v>
      </x:c>
      <x:c r="V7" s="3" t="n">
        <x:v>4</x:v>
      </x:c>
      <x:c r="W7" s="3" t="n">
        <x:v>1</x:v>
      </x:c>
      <x:c r="X7" s="3" t="n">
        <x:v>2</x:v>
      </x:c>
      <x:c r="Y7" s="3" t="n">
        <x:v>1</x:v>
      </x:c>
      <x:c r="Z7" s="3" t="n">
        <x:v>202305</x:v>
      </x:c>
      <x:c r="AA7" s="5" t="n">
        <x:v>1842.066666666667</x:v>
      </x:c>
      <x:c r="AB7" s="5" t="n">
        <x:v>1482.1</x:v>
      </x:c>
      <x:c r="AC7" s="5" t="n">
        <x:v>1319.866666666667</x:v>
      </x:c>
      <x:c r="AD7" s="5" t="n">
        <x:v>1417.366666666667</x:v>
      </x:c>
      <x:c r="AE7" s="5" t="n">
        <x:v>1452.133333333333</x:v>
      </x:c>
      <x:c r="AF7" s="5" t="n">
        <x:v>1336.666666666667</x:v>
      </x:c>
      <x:c r="AG7" s="5" t="n">
        <x:v>1355.166666666667</x:v>
      </x:c>
      <x:c r="AH7" s="5" t="n">
        <x:v>1353.366666666667</x:v>
      </x:c>
      <x:c r="AI7" s="5" t="n">
        <x:v>1386.733333333333</x:v>
      </x:c>
      <x:c r="AJ7" s="5" t="n">
        <x:v>1395.766666666667</x:v>
      </x:c>
      <x:c r="AK7" s="5" t="n">
        <x:v>1291.933333333333</x:v>
      </x:c>
      <x:c r="AL7" s="5" t="n">
        <x:v>1550.933333333333</x:v>
      </x:c>
      <x:c r="AM7" s="3" t="n">
        <x:v>1785</x:v>
      </x:c>
      <x:c r="AN7" s="5" t="n">
        <x:v>1842.066666666667</x:v>
      </x:c>
      <x:c r="AO7" s="5" t="n">
        <x:v>735.0666666666667</x:v>
      </x:c>
      <x:c r="AP7" s="5" t="n">
        <x:v>894.9</x:v>
      </x:c>
      <x:c r="AQ7" s="5" t="n">
        <x:v>166.4666666666667</x:v>
      </x:c>
      <x:c r="AR7" s="3" t="n">
        <x:v>32</x:v>
      </x:c>
      <x:c r="AS7" s="5" t="n">
        <x:v>1.9</x:v>
      </x:c>
      <x:c r="AT7" s="5" t="n">
        <x:v>11.73333333333333</x:v>
      </x:c>
      <x:c r="AU7" s="5" t="n">
        <x:v>0.3990445514096486</x:v>
      </x:c>
      <x:c r="AV7" s="5" t="n">
        <x:v>0.4858130360826608</x:v>
      </x:c>
      <x:c r="AW7" s="5" t="n">
        <x:v>0.09036951250407152</x:v>
      </x:c>
      <x:c r="AX7" s="5" t="n">
        <x:v>0.01737179255184394</x:v>
      </x:c>
      <x:c r="AY7" s="5" t="n">
        <x:v>0.001031450182765734</x:v>
      </x:c>
      <x:c r="AZ7" s="5" t="n">
        <x:v>0.006369657269009446</x:v>
      </x:c>
      <x:c r="BA7" s="5" t="n">
        <x:v>778.8666666666667</x:v>
      </x:c>
      <x:c r="BB7" s="5" t="n">
        <x:v>608.0333333333333</x:v>
      </x:c>
      <x:c r="BC7" s="5" t="n">
        <x:v>215.2</x:v>
      </x:c>
      <x:c r="BD7" s="5" t="n">
        <x:v>202.7666666666667</x:v>
      </x:c>
      <x:c r="BE7" s="5" t="n">
        <x:v>7.633333333333334</x:v>
      </x:c>
      <x:c r="BF7" s="5" t="n">
        <x:v>29.56666666666667</x:v>
      </x:c>
      <x:c r="BG7" s="5" t="n">
        <x:v>0.422822192464985</x:v>
      </x:c>
      <x:c r="BH7" s="5" t="n">
        <x:v>0.3300821541022764</x:v>
      </x:c>
      <x:c r="BI7" s="5" t="n">
        <x:v>0.1168253049111505</x:v>
      </x:c>
      <x:c r="BJ7" s="5" t="n">
        <x:v>0.1100756396800695</x:v>
      </x:c>
      <x:c r="BK7" s="5" t="n">
        <x:v>0.004143896348304441</x:v>
      </x:c>
      <x:c r="BL7" s="5" t="n">
        <x:v>0.01605081249321414</x:v>
      </x:c>
      <x:c r="BM7" s="3" t="n">
        <x:v>202305</x:v>
      </x:c>
      <x:c r="BN7" s="3" t="n">
        <x:v>32</x:v>
      </x:c>
      <x:c r="BO7" s="3" t="n">
        <x:v>0</x:v>
      </x:c>
      <x:c r="BP7" s="3" t="n">
        <x:v>31</x:v>
      </x:c>
      <x:c r="BQ7" s="5" t="n">
        <x:v>1233.900946969696</x:v>
      </x:c>
      <x:c r="BR7" s="5" t="n">
        <x:v>47.68891739980453</x:v>
      </x:c>
      <x:c r="BS7" s="5" t="n">
        <x:v>0.03864890250463172</x:v>
      </x:c>
      <x:c r="BT7" s="5" t="n">
        <x:v>3.864890250463172</x:v>
      </x:c>
      <x:c r="BU7" s="5" t="n">
        <x:v>1233.900946969696</x:v>
      </x:c>
      <x:c r="BV7" s="5" t="n">
        <x:v>1233.900946969696</x:v>
      </x:c>
      <x:c r="BW7" s="5" t="n">
        <x:v>2712.257386363636</x:v>
      </x:c>
      <x:c r="BX7" s="5" t="n">
        <x:v>0.7662610528561689</x:v>
      </x:c>
    </x:row>
    <x:row r="8">
      <x:c r="A8" s="3" t="n">
        <x:v>10000702</x:v>
      </x:c>
      <x:c r="B8" s="6" t="n">
        <x:v>45057</x:v>
      </x:c>
      <x:c r="C8" s="5" t="n">
        <x:v>40981.4</x:v>
      </x:c>
      <x:c r="D8" s="3" t="n">
        <x:v>23697</x:v>
      </x:c>
      <x:c r="E8" s="5" t="n">
        <x:v>13005.4</x:v>
      </x:c>
      <x:c r="F8" s="3" t="n">
        <x:v>4081</x:v>
      </x:c>
      <x:c r="G8" s="3" t="n">
        <x:v>198</x:v>
      </x:c>
      <x:c r="H8" s="3" t="n"/>
      <x:c r="I8" s="3" t="n">
        <x:v>147834</x:v>
      </x:c>
      <x:c r="J8" s="5" t="n">
        <x:v>0.006987567136112126</x:v>
      </x:c>
      <x:c r="K8" s="5" t="n">
        <x:v>0.06457242582897033</x:v>
      </x:c>
      <x:c r="L8" s="5" t="n">
        <x:v>0.2186574130443606</x:v>
      </x:c>
      <x:c r="M8" s="5" t="n">
        <x:v>0.4677408444606789</x:v>
      </x:c>
      <x:c r="N8" s="5" t="n">
        <x:v>0.1690680087124748</x:v>
      </x:c>
      <x:c r="O8" s="5" t="n">
        <x:v>0.07297374081740331</x:v>
      </x:c>
      <x:c r="P8" s="3" t="n">
        <x:v>33</x:v>
      </x:c>
      <x:c r="Q8" s="3" t="n">
        <x:v>5</x:v>
      </x:c>
      <x:c r="R8" s="3" t="n">
        <x:v>0</x:v>
      </x:c>
      <x:c r="S8" s="3" t="n">
        <x:v>10</x:v>
      </x:c>
      <x:c r="T8" s="3" t="n">
        <x:v>7</x:v>
      </x:c>
      <x:c r="U8" s="3" t="n">
        <x:v>8</x:v>
      </x:c>
      <x:c r="V8" s="3" t="n">
        <x:v>3</x:v>
      </x:c>
      <x:c r="W8" s="3" t="n">
        <x:v>0</x:v>
      </x:c>
      <x:c r="X8" s="3" t="n">
        <x:v>1</x:v>
      </x:c>
      <x:c r="Y8" s="3" t="n">
        <x:v>0</x:v>
      </x:c>
      <x:c r="Z8" s="3" t="n">
        <x:v>202305</x:v>
      </x:c>
      <x:c r="AA8" s="5" t="n">
        <x:v>1860.533333333333</x:v>
      </x:c>
      <x:c r="AB8" s="5" t="n">
        <x:v>1405.6</x:v>
      </x:c>
      <x:c r="AC8" s="3" t="n">
        <x:v>1342</x:v>
      </x:c>
      <x:c r="AD8" s="5" t="n">
        <x:v>1341.266666666667</x:v>
      </x:c>
      <x:c r="AE8" s="5" t="n">
        <x:v>1345.033333333333</x:v>
      </x:c>
      <x:c r="AF8" s="5" t="n">
        <x:v>1209.1</x:v>
      </x:c>
      <x:c r="AG8" s="5" t="n">
        <x:v>1157.266666666667</x:v>
      </x:c>
      <x:c r="AH8" s="5" t="n">
        <x:v>1180.3</x:v>
      </x:c>
      <x:c r="AI8" s="5" t="n">
        <x:v>1254.633333333333</x:v>
      </x:c>
      <x:c r="AJ8" s="3" t="n">
        <x:v>1148</x:v>
      </x:c>
      <x:c r="AK8" s="5" t="n">
        <x:v>1083.7</x:v>
      </x:c>
      <x:c r="AL8" s="5" t="n">
        <x:v>1545.4</x:v>
      </x:c>
      <x:c r="AM8" s="5" t="n">
        <x:v>1735.166666666667</x:v>
      </x:c>
      <x:c r="AN8" s="5" t="n">
        <x:v>1860.533333333333</x:v>
      </x:c>
      <x:c r="AO8" s="5" t="n">
        <x:v>577.9333333333333</x:v>
      </x:c>
      <x:c r="AP8" s="5" t="n">
        <x:v>955.3666666666667</x:v>
      </x:c>
      <x:c r="AQ8" s="5" t="n">
        <x:v>240.0666666666667</x:v>
      </x:c>
      <x:c r="AR8" s="5" t="n">
        <x:v>59.5</x:v>
      </x:c>
      <x:c r="AS8" s="5" t="n">
        <x:v>7.466666666666667</x:v>
      </x:c>
      <x:c r="AT8" s="5" t="n">
        <x:v>20.2</x:v>
      </x:c>
      <x:c r="AU8" s="5" t="n">
        <x:v>0.3106277769815107</x:v>
      </x:c>
      <x:c r="AV8" s="5" t="n">
        <x:v>0.5134907553389709</x:v>
      </x:c>
      <x:c r="AW8" s="5" t="n">
        <x:v>0.1290311021929196</x:v>
      </x:c>
      <x:c r="AX8" s="5" t="n">
        <x:v>0.0319800773971621</x:v>
      </x:c>
      <x:c r="AY8" s="5" t="n">
        <x:v>0.004013186183173284</x:v>
      </x:c>
      <x:c r="AZ8" s="5" t="n">
        <x:v>0.01085710190626344</x:v>
      </x:c>
      <x:c r="BA8" s="5" t="n">
        <x:v>562.1666666666666</x:v>
      </x:c>
      <x:c r="BB8" s="5" t="n">
        <x:v>497.9</x:v>
      </x:c>
      <x:c r="BC8" s="5" t="n">
        <x:v>555.4666666666667</x:v>
      </x:c>
      <x:c r="BD8" s="5" t="n">
        <x:v>222.2</x:v>
      </x:c>
      <x:c r="BE8" s="5" t="n">
        <x:v>0.3</x:v>
      </x:c>
      <x:c r="BF8" s="5" t="n">
        <x:v>22.5</x:v>
      </x:c>
      <x:c r="BG8" s="5" t="n">
        <x:v>0.3021535043715063</x:v>
      </x:c>
      <x:c r="BH8" s="5" t="n">
        <x:v>0.2676114375806221</x:v>
      </x:c>
      <x:c r="BI8" s="5" t="n">
        <x:v>0.2985523864124982</x:v>
      </x:c>
      <x:c r="BJ8" s="5" t="n">
        <x:v>0.1194281209688978</x:v>
      </x:c>
      <x:c r="BK8" s="5" t="n">
        <x:v>0.0001612440877167837</x:v>
      </x:c>
      <x:c r="BL8" s="5" t="n">
        <x:v>0.01209330657875878</x:v>
      </x:c>
      <x:c r="BM8" s="3" t="n">
        <x:v>202305</x:v>
      </x:c>
      <x:c r="BN8" s="3" t="n">
        <x:v>32</x:v>
      </x:c>
      <x:c r="BO8" s="3" t="n">
        <x:v>0</x:v>
      </x:c>
      <x:c r="BP8" s="3" t="n">
        <x:v>31</x:v>
      </x:c>
      <x:c r="BQ8" s="5" t="n">
        <x:v>1177.10606060606</x:v>
      </x:c>
      <x:c r="BR8" s="5" t="n">
        <x:v>38.28186705767352</x:v>
      </x:c>
      <x:c r="BS8" s="5" t="n">
        <x:v>0.03252202018054621</x:v>
      </x:c>
      <x:c r="BT8" s="5" t="n">
        <x:v>3.252202018054621</x:v>
      </x:c>
      <x:c r="BU8" s="5" t="n">
        <x:v>1177.10606060606</x:v>
      </x:c>
      <x:c r="BV8" s="5" t="n">
        <x:v>1177.10606060606</x:v>
      </x:c>
      <x:c r="BW8" s="5" t="n">
        <x:v>2363.843939393939</x:v>
      </x:c>
      <x:c r="BX8" s="5" t="n">
        <x:v>0.6747380882439495</x:v>
      </x:c>
    </x:row>
    <x:row r="9">
      <x:c r="A9" s="3" t="n">
        <x:v>10000736</x:v>
      </x:c>
      <x:c r="B9" s="6" t="n">
        <x:v>45102</x:v>
      </x:c>
      <x:c r="C9" s="5" t="n">
        <x:v>80698.5</x:v>
      </x:c>
      <x:c r="D9" s="5" t="n">
        <x:v>43003.4</x:v>
      </x:c>
      <x:c r="E9" s="5" t="n">
        <x:v>16012.3</x:v>
      </x:c>
      <x:c r="F9" s="3" t="n">
        <x:v>17259</x:v>
      </x:c>
      <x:c r="G9" s="5" t="n">
        <x:v>4423.8</x:v>
      </x:c>
      <x:c r="H9" s="3" t="n"/>
      <x:c r="I9" s="3" t="n">
        <x:v>217469</x:v>
      </x:c>
      <x:c r="J9" s="5" t="n">
        <x:v>0.005587003205054513</x:v>
      </x:c>
      <x:c r="K9" s="5" t="n">
        <x:v>0.04505009909458359</x:v>
      </x:c>
      <x:c r="L9" s="5" t="n">
        <x:v>0.1565648437248527</x:v>
      </x:c>
      <x:c r="M9" s="5" t="n">
        <x:v>0.4525380628963209</x:v>
      </x:c>
      <x:c r="N9" s="5" t="n">
        <x:v>0.2459017147271565</x:v>
      </x:c>
      <x:c r="O9" s="5" t="n">
        <x:v>0.09435827635203178</x:v>
      </x:c>
      <x:c r="P9" s="3" t="n">
        <x:v>58</x:v>
      </x:c>
      <x:c r="Q9" s="3" t="n">
        <x:v>7</x:v>
      </x:c>
      <x:c r="R9" s="3" t="n">
        <x:v>0</x:v>
      </x:c>
      <x:c r="S9" s="3" t="n">
        <x:v>37</x:v>
      </x:c>
      <x:c r="T9" s="3" t="n">
        <x:v>2</x:v>
      </x:c>
      <x:c r="U9" s="3" t="n">
        <x:v>8</x:v>
      </x:c>
      <x:c r="V9" s="3" t="n">
        <x:v>4</x:v>
      </x:c>
      <x:c r="W9" s="3" t="n">
        <x:v>1</x:v>
      </x:c>
      <x:c r="X9" s="3" t="n">
        <x:v>1</x:v>
      </x:c>
      <x:c r="Y9" s="3" t="n">
        <x:v>0</x:v>
      </x:c>
      <x:c r="Z9" s="3" t="n">
        <x:v>202306</x:v>
      </x:c>
      <x:c r="AA9" s="5" t="n">
        <x:v>2766.2</x:v>
      </x:c>
      <x:c r="AB9" s="5" t="n">
        <x:v>1430.3</x:v>
      </x:c>
      <x:c r="AC9" s="5" t="n">
        <x:v>987.4666666666667</x:v>
      </x:c>
      <x:c r="AD9" s="5" t="n">
        <x:v>1089.333333333333</x:v>
      </x:c>
      <x:c r="AE9" s="5" t="n">
        <x:v>845.8</x:v>
      </x:c>
      <x:c r="AF9" s="5" t="n">
        <x:v>908.8333333333334</x:v>
      </x:c>
      <x:c r="AG9" s="5" t="n">
        <x:v>1000.766666666667</x:v>
      </x:c>
      <x:c r="AH9" s="5" t="n">
        <x:v>957.9333333333333</x:v>
      </x:c>
      <x:c r="AI9" s="5" t="n">
        <x:v>875.7333333333333</x:v>
      </x:c>
      <x:c r="AJ9" s="5" t="n">
        <x:v>1105.566666666667</x:v>
      </x:c>
      <x:c r="AK9" s="5" t="n">
        <x:v>2246.033333333333</x:v>
      </x:c>
      <x:c r="AL9" s="5" t="n">
        <x:v>2515.333333333333</x:v>
      </x:c>
      <x:c r="AM9" s="5" t="n">
        <x:v>2392.1</x:v>
      </x:c>
      <x:c r="AN9" s="5" t="n">
        <x:v>2766.2</x:v>
      </x:c>
      <x:c r="AO9" s="5" t="n">
        <x:v>1120.7</x:v>
      </x:c>
      <x:c r="AP9" s="5" t="n">
        <x:v>1298.7</x:v>
      </x:c>
      <x:c r="AQ9" s="5" t="n">
        <x:v>260.5666666666667</x:v>
      </x:c>
      <x:c r="AR9" s="5" t="n">
        <x:v>63.76666666666667</x:v>
      </x:c>
      <x:c r="AS9" s="5" t="n">
        <x:v>10.5</x:v>
      </x:c>
      <x:c r="AT9" s="5" t="n">
        <x:v>11.96666666666667</x:v>
      </x:c>
      <x:c r="AU9" s="5" t="n">
        <x:v>0.4051406261297087</x:v>
      </x:c>
      <x:c r="AV9" s="5" t="n">
        <x:v>0.4694888294411106</x:v>
      </x:c>
      <x:c r="AW9" s="5" t="n">
        <x:v>0.09419661147663462</x:v>
      </x:c>
      <x:c r="AX9" s="5" t="n">
        <x:v>0.02305208107391608</x:v>
      </x:c>
      <x:c r="AY9" s="5" t="n">
        <x:v>0.003795820981852361</x:v>
      </x:c>
      <x:c r="AZ9" s="5" t="n">
        <x:v>0.00432603089677777</x:v>
      </x:c>
      <x:c r="BA9" s="5" t="n">
        <x:v>1033.433333333333</x:v>
      </x:c>
      <x:c r="BB9" s="5" t="n">
        <x:v>535.3</x:v>
      </x:c>
      <x:c r="BC9" s="5" t="n">
        <x:v>608.3</x:v>
      </x:c>
      <x:c r="BD9" s="5" t="n">
        <x:v>495.1666666666667</x:v>
      </x:c>
      <x:c r="BE9" s="5" t="n">
        <x:v>57.06666666666667</x:v>
      </x:c>
      <x:c r="BF9" s="5" t="n">
        <x:v>36.93333333333333</x:v>
      </x:c>
      <x:c r="BG9" s="5" t="n">
        <x:v>0.3735931361916469</x:v>
      </x:c>
      <x:c r="BH9" s="5" t="n">
        <x:v>0.1935145687224351</x:v>
      </x:c>
      <x:c r="BI9" s="5" t="n">
        <x:v>0.2199045622153134</x:v>
      </x:c>
      <x:c r="BJ9" s="5" t="n">
        <x:v>0.1790060974140217</x:v>
      </x:c>
      <x:c r="BK9" s="5" t="n">
        <x:v>0.0206299857807341</x:v>
      </x:c>
      <x:c r="BL9" s="5" t="n">
        <x:v>0.01335164967584894</x:v>
      </x:c>
      <x:c r="BM9" s="3" t="n">
        <x:v>202306</x:v>
      </x:c>
      <x:c r="BN9" s="3" t="n">
        <x:v>31</x:v>
      </x:c>
      <x:c r="BO9" s="3" t="n">
        <x:v>0</x:v>
      </x:c>
      <x:c r="BP9" s="3" t="n">
        <x:v>30</x:v>
      </x:c>
      <x:c r="BQ9" s="5" t="n">
        <x:v>1073.322043010753</x:v>
      </x:c>
      <x:c r="BR9" s="5" t="n">
        <x:v>77.89623655913978</x:v>
      </x:c>
      <x:c r="BS9" s="5" t="n">
        <x:v>0.07257489685074826</x:v>
      </x:c>
      <x:c r="BT9" s="5" t="n">
        <x:v>7.257489685074827</x:v>
      </x:c>
      <x:c r="BU9" s="5" t="n">
        <x:v>1073.322043010753</x:v>
      </x:c>
      <x:c r="BV9" s="5" t="n">
        <x:v>1073.322043010753</x:v>
      </x:c>
      <x:c r="BW9" s="5" t="n">
        <x:v>3410.209139784946</x:v>
      </x:c>
      <x:c r="BX9" s="5" t="n">
        <x:v>0.6842341953478618</x:v>
      </x:c>
    </x:row>
    <x:row r="10">
      <x:c r="A10" s="3" t="n">
        <x:v>10000737</x:v>
      </x:c>
      <x:c r="B10" s="6" t="n">
        <x:v>45128</x:v>
      </x:c>
      <x:c r="C10" s="5" t="n">
        <x:v>37437.1</x:v>
      </x:c>
      <x:c r="D10" s="5" t="n">
        <x:v>21222.7</x:v>
      </x:c>
      <x:c r="E10" s="3" t="n">
        <x:v>10065</x:v>
      </x:c>
      <x:c r="F10" s="5" t="n">
        <x:v>3345.4</x:v>
      </x:c>
      <x:c r="G10" s="3" t="n">
        <x:v>2804</x:v>
      </x:c>
      <x:c r="H10" s="3" t="n"/>
      <x:c r="I10" s="3" t="n">
        <x:v>167349</x:v>
      </x:c>
      <x:c r="J10" s="5" t="n">
        <x:v>0.01588297509994084</x:v>
      </x:c>
      <x:c r="K10" s="5" t="n">
        <x:v>0.1088025623099033</x:v>
      </x:c>
      <x:c r="L10" s="5" t="n">
        <x:v>0.2574739018458431</x:v>
      </x:c>
      <x:c r="M10" s="5" t="n">
        <x:v>0.4211737148115615</x:v>
      </x:c>
      <x:c r="N10" s="5" t="n">
        <x:v>0.1281453728435784</x:v>
      </x:c>
      <x:c r="O10" s="5" t="n">
        <x:v>0.06852147308917293</x:v>
      </x:c>
      <x:c r="P10" s="3" t="n">
        <x:v>23</x:v>
      </x:c>
      <x:c r="Q10" s="3" t="n">
        <x:v>3</x:v>
      </x:c>
      <x:c r="R10" s="3" t="n">
        <x:v>0</x:v>
      </x:c>
      <x:c r="S10" s="3" t="n">
        <x:v>11</x:v>
      </x:c>
      <x:c r="T10" s="3" t="n">
        <x:v>3</x:v>
      </x:c>
      <x:c r="U10" s="3" t="n">
        <x:v>2</x:v>
      </x:c>
      <x:c r="V10" s="3" t="n">
        <x:v>4</x:v>
      </x:c>
      <x:c r="W10" s="3" t="n">
        <x:v>0</x:v>
      </x:c>
      <x:c r="X10" s="3" t="n">
        <x:v>2</x:v>
      </x:c>
      <x:c r="Y10" s="3" t="n">
        <x:v>0</x:v>
      </x:c>
      <x:c r="Z10" s="3" t="n">
        <x:v>202307</x:v>
      </x:c>
      <x:c r="AA10" s="5" t="n">
        <x:v>2095.433333333333</x:v>
      </x:c>
      <x:c r="AB10" s="5" t="n">
        <x:v>1995.933333333333</x:v>
      </x:c>
      <x:c r="AC10" s="5" t="n">
        <x:v>1201.5</x:v>
      </x:c>
      <x:c r="AD10" s="5" t="n">
        <x:v>985.9</x:v>
      </x:c>
      <x:c r="AE10" s="5" t="n">
        <x:v>989.4</x:v>
      </x:c>
      <x:c r="AF10" s="5" t="n">
        <x:v>1157.166666666667</x:v>
      </x:c>
      <x:c r="AG10" s="5" t="n">
        <x:v>1144.033333333333</x:v>
      </x:c>
      <x:c r="AH10" s="5" t="n">
        <x:v>980.2</x:v>
      </x:c>
      <x:c r="AI10" s="5" t="n">
        <x:v>1196.833333333333</x:v>
      </x:c>
      <x:c r="AJ10" s="5" t="n">
        <x:v>1352.666666666667</x:v>
      </x:c>
      <x:c r="AK10" s="5" t="n">
        <x:v>1429.433333333333</x:v>
      </x:c>
      <x:c r="AL10" s="5" t="n">
        <x:v>1497.866666666667</x:v>
      </x:c>
      <x:c r="AM10" s="5" t="n">
        <x:v>1874.066666666667</x:v>
      </x:c>
      <x:c r="AN10" s="5" t="n">
        <x:v>2095.433333333333</x:v>
      </x:c>
      <x:c r="AO10" s="5" t="n">
        <x:v>550.6666666666666</x:v>
      </x:c>
      <x:c r="AP10" s="5" t="n">
        <x:v>1062.5</x:v>
      </x:c>
      <x:c r="AQ10" s="5" t="n">
        <x:v>336.9333333333333</x:v>
      </x:c>
      <x:c r="AR10" s="5" t="n">
        <x:v>99.56666666666666</x:v>
      </x:c>
      <x:c r="AS10" s="5" t="n">
        <x:v>17.13333333333333</x:v>
      </x:c>
      <x:c r="AT10" s="5" t="n">
        <x:v>28.63333333333333</x:v>
      </x:c>
      <x:c r="AU10" s="5" t="n">
        <x:v>0.2627936942239473</x:v>
      </x:c>
      <x:c r="AV10" s="5" t="n">
        <x:v>0.5070550244181792</x:v>
      </x:c>
      <x:c r="AW10" s="5" t="n">
        <x:v>0.1607941078217711</x:v>
      </x:c>
      <x:c r="AX10" s="5" t="n">
        <x:v>0.04751602691567376</x:v>
      </x:c>
      <x:c r="AY10" s="5" t="n">
        <x:v>0.008176510825127659</x:v>
      </x:c>
      <x:c r="AZ10" s="5" t="n">
        <x:v>0.01366463579530089</x:v>
      </x:c>
      <x:c r="BA10" s="5" t="n">
        <x:v>847.1</x:v>
      </x:c>
      <x:c r="BB10" s="5" t="n">
        <x:v>478.1666666666667</x:v>
      </x:c>
      <x:c r="BC10" s="5" t="n">
        <x:v>489.9</x:v>
      </x:c>
      <x:c r="BD10" s="5" t="n">
        <x:v>250.2666666666667</x:v>
      </x:c>
      <x:c r="BE10" s="5" t="n">
        <x:v>9.966666666666667</x:v>
      </x:c>
      <x:c r="BF10" s="5" t="n">
        <x:v>20.03333333333333</x:v>
      </x:c>
      <x:c r="BG10" s="5" t="n">
        <x:v>0.4042600575855432</x:v>
      </x:c>
      <x:c r="BH10" s="5" t="n">
        <x:v>0.2281946454989421</x:v>
      </x:c>
      <x:c r="BI10" s="5" t="n">
        <x:v>0.2337941237293797</x:v>
      </x:c>
      <x:c r="BJ10" s="5" t="n">
        <x:v>0.1194343254378569</x:v>
      </x:c>
      <x:c r="BK10" s="5" t="n">
        <x:v>0.004756374974150136</x:v>
      </x:c>
      <x:c r="BL10" s="5" t="n">
        <x:v>0.009560472774127866</x:v>
      </x:c>
      <x:c r="BM10" s="3" t="n">
        <x:v>202307</x:v>
      </x:c>
      <x:c r="BN10" s="3" t="n">
        <x:v>30</x:v>
      </x:c>
      <x:c r="BO10" s="3" t="n">
        <x:v>0</x:v>
      </x:c>
      <x:c r="BP10" s="3" t="n">
        <x:v>29</x:v>
      </x:c>
      <x:c r="BQ10" s="5" t="n">
        <x:v>1162.333763440861</x:v>
      </x:c>
      <x:c r="BR10" s="5" t="n">
        <x:v>40.07238413051537</x:v>
      </x:c>
      <x:c r="BS10" s="5" t="n">
        <x:v>0.03447579808048331</x:v>
      </x:c>
      <x:c r="BT10" s="5" t="n">
        <x:v>3.447579808048331</x:v>
      </x:c>
      <x:c r="BU10" s="5" t="n">
        <x:v>1162.333763440861</x:v>
      </x:c>
      <x:c r="BV10" s="5" t="n">
        <x:v>1162.333763440861</x:v>
      </x:c>
      <x:c r="BW10" s="5" t="n">
        <x:v>2324.432903225807</x:v>
      </x:c>
      <x:c r="BX10" s="5" t="n">
        <x:v>0.586292221163792</x:v>
      </x:c>
    </x:row>
    <x:row r="11">
      <x:c r="A11" s="3" t="n">
        <x:v>10000738</x:v>
      </x:c>
      <x:c r="B11" s="6" t="n">
        <x:v>45095</x:v>
      </x:c>
      <x:c r="C11" s="5" t="n">
        <x:v>36324.39999999999</x:v>
      </x:c>
      <x:c r="D11" s="5" t="n">
        <x:v>9846.19999999999</x:v>
      </x:c>
      <x:c r="E11" s="5" t="n">
        <x:v>19127.3</x:v>
      </x:c>
      <x:c r="F11" s="5" t="n">
        <x:v>7350.9</x:v>
      </x:c>
      <x:c r="G11" s="3" t="n"/>
      <x:c r="H11" s="3" t="n"/>
      <x:c r="I11" s="3" t="n">
        <x:v>156641</x:v>
      </x:c>
      <x:c r="J11" s="5" t="n">
        <x:v>0.01236585568273951</x:v>
      </x:c>
      <x:c r="K11" s="5" t="n">
        <x:v>0.09502620642105196</x:v>
      </x:c>
      <x:c r="L11" s="5" t="n">
        <x:v>0.2349448739474339</x:v>
      </x:c>
      <x:c r="M11" s="5" t="n">
        <x:v>0.4073390746994721</x:v>
      </x:c>
      <x:c r="N11" s="5" t="n">
        <x:v>0.1710918597302111</x:v>
      </x:c>
      <x:c r="O11" s="5" t="n">
        <x:v>0.07923212951909142</x:v>
      </x:c>
      <x:c r="P11" s="3" t="n">
        <x:v>32</x:v>
      </x:c>
      <x:c r="Q11" s="3" t="n">
        <x:v>4</x:v>
      </x:c>
      <x:c r="R11" s="3" t="n">
        <x:v>0</x:v>
      </x:c>
      <x:c r="S11" s="3" t="n">
        <x:v>17</x:v>
      </x:c>
      <x:c r="T11" s="3" t="n">
        <x:v>4</x:v>
      </x:c>
      <x:c r="U11" s="3" t="n">
        <x:v>3</x:v>
      </x:c>
      <x:c r="V11" s="3" t="n">
        <x:v>4</x:v>
      </x:c>
      <x:c r="W11" s="3" t="n">
        <x:v>2</x:v>
      </x:c>
      <x:c r="X11" s="3" t="n">
        <x:v>2</x:v>
      </x:c>
      <x:c r="Y11" s="3" t="n">
        <x:v>0</x:v>
      </x:c>
      <x:c r="Z11" s="3" t="n">
        <x:v>202306</x:v>
      </x:c>
      <x:c r="AA11" s="5" t="n">
        <x:v>1298.633333333333</x:v>
      </x:c>
      <x:c r="AB11" s="5" t="n">
        <x:v>2028.5</x:v>
      </x:c>
      <x:c r="AC11" s="5" t="n">
        <x:v>1235.566666666667</x:v>
      </x:c>
      <x:c r="AD11" s="5" t="n">
        <x:v>1175.166666666667</x:v>
      </x:c>
      <x:c r="AE11" s="5" t="n">
        <x:v>1022.433333333333</x:v>
      </x:c>
      <x:c r="AF11" s="5" t="n">
        <x:v>1086.533333333333</x:v>
      </x:c>
      <x:c r="AG11" s="5" t="n">
        <x:v>994.2333333333333</x:v>
      </x:c>
      <x:c r="AH11" s="5" t="n">
        <x:v>1000.066666666667</x:v>
      </x:c>
      <x:c r="AI11" s="5" t="n">
        <x:v>899.5666666666667</x:v>
      </x:c>
      <x:c r="AJ11" s="5" t="n">
        <x:v>1010.633333333333</x:v>
      </x:c>
      <x:c r="AK11" s="5" t="n">
        <x:v>1216.2</x:v>
      </x:c>
      <x:c r="AL11" s="5" t="n">
        <x:v>1194.8</x:v>
      </x:c>
      <x:c r="AM11" s="5" t="n">
        <x:v>1171.366666666667</x:v>
      </x:c>
      <x:c r="AN11" s="5" t="n">
        <x:v>1298.633333333333</x:v>
      </x:c>
      <x:c r="AO11" s="5" t="n">
        <x:v>431.9</x:v>
      </x:c>
      <x:c r="AP11" s="5" t="n">
        <x:v>629.3</x:v>
      </x:c>
      <x:c r="AQ11" s="5" t="n">
        <x:v>179.6333333333333</x:v>
      </x:c>
      <x:c r="AR11" s="5" t="n">
        <x:v>48.13333333333333</x:v>
      </x:c>
      <x:c r="AS11" s="5" t="n">
        <x:v>4.766666666666667</x:v>
      </x:c>
      <x:c r="AT11" s="5" t="n">
        <x:v>4.9</x:v>
      </x:c>
      <x:c r="AU11" s="5" t="n">
        <x:v>0.3325804050411971</x:v>
      </x:c>
      <x:c r="AV11" s="5" t="n">
        <x:v>0.4845863600195076</x:v>
      </x:c>
      <x:c r="AW11" s="5" t="n">
        <x:v>0.1383249056700634</x:v>
      </x:c>
      <x:c r="AX11" s="5" t="n">
        <x:v>0.03706460638106727</x:v>
      </x:c>
      <x:c r="AY11" s="5" t="n">
        <x:v>0.003670525424163864</x:v>
      </x:c>
      <x:c r="AZ11" s="5" t="n">
        <x:v>0.003773197464000616</x:v>
      </x:c>
      <x:c r="BA11" s="5" t="n">
        <x:v>282.0666666666667</x:v>
      </x:c>
      <x:c r="BB11" s="5" t="n">
        <x:v>324.2</x:v>
      </x:c>
      <x:c r="BC11" s="5" t="n">
        <x:v>436.5</x:v>
      </x:c>
      <x:c r="BD11" s="5" t="n">
        <x:v>236.7</x:v>
      </x:c>
      <x:c r="BE11" s="5" t="n">
        <x:v>1.433333333333333</x:v>
      </x:c>
      <x:c r="BF11" s="5" t="n">
        <x:v>17.73333333333333</x:v>
      </x:c>
      <x:c r="BG11" s="5" t="n">
        <x:v>0.2172027002746477</x:v>
      </x:c>
      <x:c r="BH11" s="5" t="n">
        <x:v>0.2496470648630611</x:v>
      </x:c>
      <x:c r="BI11" s="5" t="n">
        <x:v>0.3361225904155651</x:v>
      </x:c>
      <x:c r="BJ11" s="5" t="n">
        <x:v>0.182268538720193</x:v>
      </x:c>
      <x:c r="BK11" s="5" t="n">
        <x:v>0.001103724428245078</x:v>
      </x:c>
      <x:c r="BL11" s="5" t="n">
        <x:v>0.01365538129828794</x:v>
      </x:c>
      <x:c r="BM11" s="3" t="n">
        <x:v>202306</x:v>
      </x:c>
      <x:c r="BN11" s="3" t="n">
        <x:v>31</x:v>
      </x:c>
      <x:c r="BO11" s="3" t="n">
        <x:v>0</x:v>
      </x:c>
      <x:c r="BP11" s="3" t="n">
        <x:v>30</x:v>
      </x:c>
      <x:c r="BQ11" s="5" t="n">
        <x:v>1037.287231182796</x:v>
      </x:c>
      <x:c r="BR11" s="5" t="n">
        <x:v>28.08293010752687</x:v>
      </x:c>
      <x:c r="BS11" s="5" t="n">
        <x:v>0.0270734366174589</x:v>
      </x:c>
      <x:c r="BT11" s="5" t="n">
        <x:v>2.70734366174589</x:v>
      </x:c>
      <x:c r="BU11" s="5" t="n">
        <x:v>1037.287231182796</x:v>
      </x:c>
      <x:c r="BV11" s="5" t="n">
        <x:v>1037.287231182796</x:v>
      </x:c>
      <x:c r="BW11" s="5" t="n">
        <x:v>1879.775134408602</x:v>
      </x:c>
      <x:c r="BX11" s="5" t="n">
        <x:v>0.495248655506252</x:v>
      </x:c>
    </x:row>
    <x:row r="12">
      <x:c r="A12" s="3" t="n">
        <x:v>10000739</x:v>
      </x:c>
      <x:c r="B12" s="6" t="n">
        <x:v>45107</x:v>
      </x:c>
      <x:c r="C12" s="5" t="n">
        <x:v>38177.9999999999</x:v>
      </x:c>
      <x:c r="D12" s="5" t="n">
        <x:v>22284.6999999999</x:v>
      </x:c>
      <x:c r="E12" s="5" t="n">
        <x:v>15564.5</x:v>
      </x:c>
      <x:c r="F12" s="5" t="n">
        <x:v>328.8</x:v>
      </x:c>
      <x:c r="G12" s="3" t="n"/>
      <x:c r="H12" s="3" t="n"/>
      <x:c r="I12" s="3" t="n">
        <x:v>164205</x:v>
      </x:c>
      <x:c r="J12" s="5" t="n">
        <x:v>0.007033890563624737</x:v>
      </x:c>
      <x:c r="K12" s="5" t="n">
        <x:v>0.06008343229499711</x:v>
      </x:c>
      <x:c r="L12" s="5" t="n">
        <x:v>0.2048841387290277</x:v>
      </x:c>
      <x:c r="M12" s="5" t="n">
        <x:v>0.4733595201120551</x:v>
      </x:c>
      <x:c r="N12" s="5" t="n">
        <x:v>0.1753417983618038</x:v>
      </x:c>
      <x:c r="O12" s="5" t="n">
        <x:v>0.07929721993849152</x:v>
      </x:c>
      <x:c r="P12" s="3" t="n">
        <x:v>41</x:v>
      </x:c>
      <x:c r="Q12" s="3" t="n">
        <x:v>8</x:v>
      </x:c>
      <x:c r="R12" s="3" t="n">
        <x:v>0</x:v>
      </x:c>
      <x:c r="S12" s="3" t="n">
        <x:v>18</x:v>
      </x:c>
      <x:c r="T12" s="3" t="n">
        <x:v>8</x:v>
      </x:c>
      <x:c r="U12" s="3" t="n">
        <x:v>5</x:v>
      </x:c>
      <x:c r="V12" s="3" t="n">
        <x:v>2</x:v>
      </x:c>
      <x:c r="W12" s="3" t="n">
        <x:v>2</x:v>
      </x:c>
      <x:c r="X12" s="3" t="n">
        <x:v>1</x:v>
      </x:c>
      <x:c r="Y12" s="3" t="n">
        <x:v>0</x:v>
      </x:c>
      <x:c r="Z12" s="3" t="n">
        <x:v>202306</x:v>
      </x:c>
      <x:c r="AA12" s="5" t="n">
        <x:v>2020.4</x:v>
      </x:c>
      <x:c r="AB12" s="5" t="n">
        <x:v>1748.833333333333</x:v>
      </x:c>
      <x:c r="AC12" s="5" t="n">
        <x:v>1425.366666666667</x:v>
      </x:c>
      <x:c r="AD12" s="5" t="n">
        <x:v>1322.266666666667</x:v>
      </x:c>
      <x:c r="AE12" s="5" t="n">
        <x:v>1203.066666666667</x:v>
      </x:c>
      <x:c r="AF12" s="5" t="n">
        <x:v>1404.133333333333</x:v>
      </x:c>
      <x:c r="AG12" s="5" t="n">
        <x:v>1565.8</x:v>
      </x:c>
      <x:c r="AH12" s="5" t="n">
        <x:v>1342.633333333333</x:v>
      </x:c>
      <x:c r="AI12" s="5" t="n">
        <x:v>1188.333333333333</x:v>
      </x:c>
      <x:c r="AJ12" s="5" t="n">
        <x:v>1431.433333333333</x:v>
      </x:c>
      <x:c r="AK12" s="5" t="n">
        <x:v>1556.533333333333</x:v>
      </x:c>
      <x:c r="AL12" s="5" t="n">
        <x:v>1619.7</x:v>
      </x:c>
      <x:c r="AM12" s="5" t="n">
        <x:v>1750.466666666667</x:v>
      </x:c>
      <x:c r="AN12" s="5" t="n">
        <x:v>2020.4</x:v>
      </x:c>
      <x:c r="AO12" s="5" t="n">
        <x:v>619.1</x:v>
      </x:c>
      <x:c r="AP12" s="5" t="n">
        <x:v>1030.733333333333</x:v>
      </x:c>
      <x:c r="AQ12" s="3" t="n">
        <x:v>277</x:v>
      </x:c>
      <x:c r="AR12" s="5" t="n">
        <x:v>71.03333333333333</x:v>
      </x:c>
      <x:c r="AS12" s="5" t="n">
        <x:v>11.1</x:v>
      </x:c>
      <x:c r="AT12" s="5" t="n">
        <x:v>11.43333333333333</x:v>
      </x:c>
      <x:c r="AU12" s="5" t="n">
        <x:v>0.3064244704019006</x:v>
      </x:c>
      <x:c r="AV12" s="5" t="n">
        <x:v>0.5101630040256054</x:v>
      </x:c>
      <x:c r="AW12" s="5" t="n">
        <x:v>0.1371015640467234</x:v>
      </x:c>
      <x:c r="AX12" s="5" t="n">
        <x:v>0.03515805451065795</x:v>
      </x:c>
      <x:c r="AY12" s="5" t="n">
        <x:v>0.005493961591764007</x:v>
      </x:c>
      <x:c r="AZ12" s="5" t="n">
        <x:v>0.005658945423348512</x:v>
      </x:c>
      <x:c r="BA12" s="5" t="n">
        <x:v>342.4333333333333</x:v>
      </x:c>
      <x:c r="BB12" s="5" t="n">
        <x:v>868.7666666666667</x:v>
      </x:c>
      <x:c r="BC12" s="5" t="n">
        <x:v>709.2</x:v>
      </x:c>
      <x:c r="BD12" s="5" t="n">
        <x:v>75.59999999999999</x:v>
      </x:c>
      <x:c r="BE12" s="3" t="n">
        <x:v>0</x:v>
      </x:c>
      <x:c r="BF12" s="5" t="n">
        <x:v>24.4</x:v>
      </x:c>
      <x:c r="BG12" s="5" t="n">
        <x:v>0.1694878901867617</x:v>
      </x:c>
      <x:c r="BH12" s="5" t="n">
        <x:v>0.4299973602586946</x:v>
      </x:c>
      <x:c r="BI12" s="5" t="n">
        <x:v>0.3510196000791923</x:v>
      </x:c>
      <x:c r="BJ12" s="5" t="n">
        <x:v>0.03741833300336567</x:v>
      </x:c>
      <x:c r="BK12" s="3" t="n">
        <x:v>0</x:v>
      </x:c>
      <x:c r="BL12" s="5" t="n">
        <x:v>0.01207681647198574</x:v>
      </x:c>
      <x:c r="BM12" s="3" t="n">
        <x:v>202306</x:v>
      </x:c>
      <x:c r="BN12" s="3" t="n">
        <x:v>31</x:v>
      </x:c>
      <x:c r="BO12" s="3" t="n">
        <x:v>0</x:v>
      </x:c>
      <x:c r="BP12" s="3" t="n">
        <x:v>30</x:v>
      </x:c>
      <x:c r="BQ12" s="5" t="n">
        <x:v>1363.001814516129</x:v>
      </x:c>
      <x:c r="BR12" s="5" t="n">
        <x:v>29.89772849462365</x:v>
      </x:c>
      <x:c r="BS12" s="5" t="n">
        <x:v>0.02193520813854342</x:v>
      </x:c>
      <x:c r="BT12" s="5" t="n">
        <x:v>2.193520813854342</x:v>
      </x:c>
      <x:c r="BU12" s="5" t="n">
        <x:v>1363.001814516129</x:v>
      </x:c>
      <x:c r="BV12" s="5" t="n">
        <x:v>1363.001814516129</x:v>
      </x:c>
      <x:c r="BW12" s="5" t="n">
        <x:v>2259.933669354838</x:v>
      </x:c>
      <x:c r="BX12" s="5" t="n">
        <x:v>0.5576002976972474</x:v>
      </x:c>
    </x:row>
    <x:row r="13">
      <x:c r="A13" s="3" t="n">
        <x:v>10000749</x:v>
      </x:c>
      <x:c r="B13" s="6" t="n">
        <x:v>45107</x:v>
      </x:c>
      <x:c r="C13" s="5" t="n">
        <x:v>31304.2</x:v>
      </x:c>
      <x:c r="D13" s="5" t="n">
        <x:v>21376.2</x:v>
      </x:c>
      <x:c r="E13" s="3" t="n">
        <x:v>9928</x:v>
      </x:c>
      <x:c r="F13" s="3" t="n"/>
      <x:c r="G13" s="3" t="n"/>
      <x:c r="H13" s="3" t="n"/>
      <x:c r="I13" s="3" t="n">
        <x:v>86337</x:v>
      </x:c>
      <x:c r="J13" s="5" t="n">
        <x:v>0.003080950229913015</x:v>
      </x:c>
      <x:c r="K13" s="5" t="n">
        <x:v>0.03492129677890128</x:v>
      </x:c>
      <x:c r="L13" s="5" t="n">
        <x:v>0.1463103883618842</x:v>
      </x:c>
      <x:c r="M13" s="5" t="n">
        <x:v>0.4779410913050025</x:v>
      </x:c>
      <x:c r="N13" s="5" t="n">
        <x:v>0.260027566396794</x:v>
      </x:c>
      <x:c r="O13" s="5" t="n">
        <x:v>0.07771870692750502</x:v>
      </x:c>
      <x:c r="P13" s="3" t="n">
        <x:v>19</x:v>
      </x:c>
      <x:c r="Q13" s="3" t="n">
        <x:v>1</x:v>
      </x:c>
      <x:c r="R13" s="3" t="n">
        <x:v>0</x:v>
      </x:c>
      <x:c r="S13" s="3" t="n">
        <x:v>11</x:v>
      </x:c>
      <x:c r="T13" s="3" t="n">
        <x:v>3</x:v>
      </x:c>
      <x:c r="U13" s="3" t="n">
        <x:v>4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202306</x:v>
      </x:c>
      <x:c r="AA13" s="5" t="n">
        <x:v>1338.333333333333</x:v>
      </x:c>
      <x:c r="AB13" s="5" t="n">
        <x:v>1285.3</x:v>
      </x:c>
      <x:c r="AC13" s="5" t="n">
        <x:v>1036.333333333333</x:v>
      </x:c>
      <x:c r="AD13" s="5" t="n">
        <x:v>1051.633333333333</x:v>
      </x:c>
      <x:c r="AE13" s="5" t="n">
        <x:v>910.9333333333333</x:v>
      </x:c>
      <x:c r="AF13" s="5" t="n">
        <x:v>987.6</x:v>
      </x:c>
      <x:c r="AG13" s="5" t="n">
        <x:v>1065.8</x:v>
      </x:c>
      <x:c r="AH13" s="5" t="n">
        <x:v>1011.033333333333</x:v>
      </x:c>
      <x:c r="AI13" s="5" t="n">
        <x:v>901.7666666666667</x:v>
      </x:c>
      <x:c r="AJ13" s="5" t="n">
        <x:v>1098.866666666667</x:v>
      </x:c>
      <x:c r="AK13" s="5" t="n">
        <x:v>1162.8</x:v>
      </x:c>
      <x:c r="AL13" s="5" t="n">
        <x:v>1126.033333333333</x:v>
      </x:c>
      <x:c r="AM13" s="5" t="n">
        <x:v>1188.7</x:v>
      </x:c>
      <x:c r="AN13" s="5" t="n">
        <x:v>1338.333333333333</x:v>
      </x:c>
      <x:c r="AO13" s="5" t="n">
        <x:v>555.4</x:v>
      </x:c>
      <x:c r="AP13" s="5" t="n">
        <x:v>630.4333333333333</x:v>
      </x:c>
      <x:c r="AQ13" s="5" t="n">
        <x:v>116.7333333333333</x:v>
      </x:c>
      <x:c r="AR13" s="5" t="n">
        <x:v>26.16666666666667</x:v>
      </x:c>
      <x:c r="AS13" s="5" t="n">
        <x:v>4.4</x:v>
      </x:c>
      <x:c r="AT13" s="5" t="n">
        <x:v>5.2</x:v>
      </x:c>
      <x:c r="AU13" s="5" t="n">
        <x:v>0.4149937733499378</x:v>
      </x:c>
      <x:c r="AV13" s="5" t="n">
        <x:v>0.4710585305105853</x:v>
      </x:c>
      <x:c r="AW13" s="5" t="n">
        <x:v>0.08722291407222915</x:v>
      </x:c>
      <x:c r="AX13" s="5" t="n">
        <x:v>0.01955168119551681</x:v>
      </x:c>
      <x:c r="AY13" s="5" t="n">
        <x:v>0.003287671232876713</x:v>
      </x:c>
      <x:c r="AZ13" s="5" t="n">
        <x:v>0.003885429638854297</x:v>
      </x:c>
      <x:c r="BA13" s="3" t="n">
        <x:v>244</x:v>
      </x:c>
      <x:c r="BB13" s="5" t="n">
        <x:v>308.7333333333333</x:v>
      </x:c>
      <x:c r="BC13" s="3" t="n">
        <x:v>471</x:v>
      </x:c>
      <x:c r="BD13" s="5" t="n">
        <x:v>294.2333333333333</x:v>
      </x:c>
      <x:c r="BE13" s="5" t="n">
        <x:v>0.4</x:v>
      </x:c>
      <x:c r="BF13" s="5" t="n">
        <x:v>19.96666666666667</x:v>
      </x:c>
      <x:c r="BG13" s="5" t="n">
        <x:v>0.1823163138231632</x:v>
      </x:c>
      <x:c r="BH13" s="5" t="n">
        <x:v>0.2306849315068494</x:v>
      </x:c>
      <x:c r="BI13" s="5" t="n">
        <x:v>0.3519302615193026</x:v>
      </x:c>
      <x:c r="BJ13" s="5" t="n">
        <x:v>0.2198505603985056</x:v>
      </x:c>
      <x:c r="BK13" s="5" t="n">
        <x:v>0.0002988792029887921</x:v>
      </x:c>
      <x:c r="BL13" s="5" t="n">
        <x:v>0.01491905354919053</x:v>
      </x:c>
      <x:c r="BM13" s="3" t="n">
        <x:v>202306</x:v>
      </x:c>
      <x:c r="BN13" s="3" t="n">
        <x:v>31</x:v>
      </x:c>
      <x:c r="BO13" s="3" t="n">
        <x:v>0</x:v>
      </x:c>
      <x:c r="BP13" s="3" t="n">
        <x:v>30</x:v>
      </x:c>
      <x:c r="BQ13" s="5" t="n">
        <x:v>1019.264112903226</x:v>
      </x:c>
      <x:c r="BR13" s="5" t="n">
        <x:v>14.1568010752688</x:v>
      </x:c>
      <x:c r="BS13" s="5" t="n">
        <x:v>0.01388923724092003</x:v>
      </x:c>
      <x:c r="BT13" s="5" t="n">
        <x:v>1.388923724092003</x:v>
      </x:c>
      <x:c r="BU13" s="5" t="n">
        <x:v>1019.264112903226</x:v>
      </x:c>
      <x:c r="BV13" s="5" t="n">
        <x:v>1019.264112903226</x:v>
      </x:c>
      <x:c r="BW13" s="5" t="n">
        <x:v>1443.96814516129</x:v>
      </x:c>
      <x:c r="BX13" s="5" t="n">
        <x:v>0.4486999008249162</x:v>
      </x:c>
    </x:row>
    <x:row r="14">
      <x:c r="A14" s="3" t="n">
        <x:v>10000757</x:v>
      </x:c>
      <x:c r="B14" s="6" t="n">
        <x:v>45113</x:v>
      </x:c>
      <x:c r="C14" s="3" t="n">
        <x:v>48627</x:v>
      </x:c>
      <x:c r="D14" s="5" t="n">
        <x:v>25410.5</x:v>
      </x:c>
      <x:c r="E14" s="5" t="n">
        <x:v>11543.5</x:v>
      </x:c>
      <x:c r="F14" s="3" t="n">
        <x:v>9851</x:v>
      </x:c>
      <x:c r="G14" s="3" t="n">
        <x:v>1822</x:v>
      </x:c>
      <x:c r="H14" s="3" t="n"/>
      <x:c r="I14" s="3" t="n">
        <x:v>126363</x:v>
      </x:c>
      <x:c r="J14" s="5" t="n">
        <x:v>0.005080601125329408</x:v>
      </x:c>
      <x:c r="K14" s="5" t="n">
        <x:v>0.05938447172036118</x:v>
      </x:c>
      <x:c r="L14" s="5" t="n">
        <x:v>0.1980168245451596</x:v>
      </x:c>
      <x:c r="M14" s="5" t="n">
        <x:v>0.4402317133971178</x:v>
      </x:c>
      <x:c r="N14" s="5" t="n">
        <x:v>0.2055665028528921</x:v>
      </x:c>
      <x:c r="O14" s="5" t="n">
        <x:v>0.09171988635913994</x:v>
      </x:c>
      <x:c r="P14" s="3" t="n">
        <x:v>28</x:v>
      </x:c>
      <x:c r="Q14" s="3" t="n">
        <x:v>2</x:v>
      </x:c>
      <x:c r="R14" s="3" t="n">
        <x:v>2</x:v>
      </x:c>
      <x:c r="S14" s="3" t="n">
        <x:v>11</x:v>
      </x:c>
      <x:c r="T14" s="3" t="n">
        <x:v>6</x:v>
      </x:c>
      <x:c r="U14" s="3" t="n">
        <x:v>2</x:v>
      </x:c>
      <x:c r="V14" s="3" t="n">
        <x:v>5</x:v>
      </x:c>
      <x:c r="W14" s="3" t="n">
        <x:v>0</x:v>
      </x:c>
      <x:c r="X14" s="3" t="n">
        <x:v>0</x:v>
      </x:c>
      <x:c r="Y14" s="3" t="n">
        <x:v>0</x:v>
      </x:c>
      <x:c r="Z14" s="3" t="n">
        <x:v>202307</x:v>
      </x:c>
      <x:c r="AA14" s="5" t="n">
        <x:v>1490.366666666667</x:v>
      </x:c>
      <x:c r="AB14" s="5" t="n">
        <x:v>1702.233333333333</x:v>
      </x:c>
      <x:c r="AC14" s="3" t="n">
        <x:v>1121</x:v>
      </x:c>
      <x:c r="AD14" s="5" t="n">
        <x:v>1017.066666666667</x:v>
      </x:c>
      <x:c r="AE14" s="5" t="n">
        <x:v>892.9333333333333</x:v>
      </x:c>
      <x:c r="AF14" s="5" t="n">
        <x:v>876.1333333333333</x:v>
      </x:c>
      <x:c r="AG14" s="5" t="n">
        <x:v>899.9333333333333</x:v>
      </x:c>
      <x:c r="AH14" s="5" t="n">
        <x:v>868.2666666666667</x:v>
      </x:c>
      <x:c r="AI14" s="5" t="n">
        <x:v>827.9</x:v>
      </x:c>
      <x:c r="AJ14" s="5" t="n">
        <x:v>989.0666666666667</x:v>
      </x:c>
      <x:c r="AK14" s="5" t="n">
        <x:v>1212.033333333333</x:v>
      </x:c>
      <x:c r="AL14" s="5" t="n">
        <x:v>1148.033333333333</x:v>
      </x:c>
      <x:c r="AM14" s="5" t="n">
        <x:v>1211.833333333333</x:v>
      </x:c>
      <x:c r="AN14" s="5" t="n">
        <x:v>1490.366666666667</x:v>
      </x:c>
      <x:c r="AO14" s="5" t="n">
        <x:v>548.4333333333333</x:v>
      </x:c>
      <x:c r="AP14" s="5" t="n">
        <x:v>729.2</x:v>
      </x:c>
      <x:c r="AQ14" s="5" t="n">
        <x:v>159.4333333333333</x:v>
      </x:c>
      <x:c r="AR14" s="5" t="n">
        <x:v>42.53333333333333</x:v>
      </x:c>
      <x:c r="AS14" s="5" t="n">
        <x:v>3.1</x:v>
      </x:c>
      <x:c r="AT14" s="5" t="n">
        <x:v>7.666666666666667</x:v>
      </x:c>
      <x:c r="AU14" s="5" t="n">
        <x:v>0.3679855069222339</x:v>
      </x:c>
      <x:c r="AV14" s="5" t="n">
        <x:v>0.4892755697703027</x:v>
      </x:c>
      <x:c r="AW14" s="5" t="n">
        <x:v>0.1069759119679721</x:v>
      </x:c>
      <x:c r="AX14" s="5" t="n">
        <x:v>0.02853883831719264</x:v>
      </x:c>
      <x:c r="AY14" s="5" t="n">
        <x:v>0.00208002504976404</x:v>
      </x:c>
      <x:c r="AZ14" s="5" t="n">
        <x:v>0.005144147972534724</x:v>
      </x:c>
      <x:c r="BA14" s="5" t="n">
        <x:v>480.6666666666667</x:v>
      </x:c>
      <x:c r="BB14" s="5" t="n">
        <x:v>381.5666666666667</x:v>
      </x:c>
      <x:c r="BC14" s="5" t="n">
        <x:v>318.6333333333333</x:v>
      </x:c>
      <x:c r="BD14" s="3" t="n">
        <x:v>275</x:v>
      </x:c>
      <x:c r="BE14" s="5" t="n">
        <x:v>16.43333333333333</x:v>
      </x:c>
      <x:c r="BF14" s="5" t="n">
        <x:v>18.06666666666667</x:v>
      </x:c>
      <x:c r="BG14" s="5" t="n">
        <x:v>0.322515712017177</x:v>
      </x:c>
      <x:c r="BH14" s="5" t="n">
        <x:v>0.2560220080069782</x:v>
      </x:c>
      <x:c r="BI14" s="5" t="n">
        <x:v>0.2137952629106931</x:v>
      </x:c>
      <x:c r="BJ14" s="5" t="n">
        <x:v>0.1845183511887455</x:v>
      </x:c>
      <x:c r="BK14" s="5" t="n">
        <x:v>0.01102636934982443</x:v>
      </x:c>
      <x:c r="BL14" s="5" t="n">
        <x:v>0.01212229652658183</x:v>
      </x:c>
      <x:c r="BM14" s="3" t="n">
        <x:v>202307</x:v>
      </x:c>
      <x:c r="BN14" s="3" t="n">
        <x:v>31</x:v>
      </x:c>
      <x:c r="BO14" s="3" t="n">
        <x:v>0</x:v>
      </x:c>
      <x:c r="BP14" s="3" t="n">
        <x:v>30</x:v>
      </x:c>
      <x:c r="BQ14" s="5" t="n">
        <x:v>881.1839381720433</x:v>
      </x:c>
      <x:c r="BR14" s="5" t="n">
        <x:v>39.30221774193547</x:v>
      </x:c>
      <x:c r="BS14" s="5" t="n">
        <x:v>0.04460160477217194</x:v>
      </x:c>
      <x:c r="BT14" s="5" t="n">
        <x:v>4.460160477217194</x:v>
      </x:c>
      <x:c r="BU14" s="5" t="n">
        <x:v>881.1839381720433</x:v>
      </x:c>
      <x:c r="BV14" s="5" t="n">
        <x:v>881.1839381720433</x:v>
      </x:c>
      <x:c r="BW14" s="5" t="n">
        <x:v>2060.250470430107</x:v>
      </x:c>
      <x:c r="BX14" s="5" t="n">
        <x:v>0.6668791865120308</x:v>
      </x:c>
    </x:row>
    <x:row r="15">
      <x:c r="A15" s="3" t="n">
        <x:v>10000758</x:v>
      </x:c>
      <x:c r="B15" s="6" t="n">
        <x:v>45138</x:v>
      </x:c>
      <x:c r="C15" s="5" t="n">
        <x:v>77576.39999999999</x:v>
      </x:c>
      <x:c r="D15" s="5" t="n">
        <x:v>25938.3</x:v>
      </x:c>
      <x:c r="E15" s="5" t="n">
        <x:v>11307.1</x:v>
      </x:c>
      <x:c r="F15" s="3" t="n">
        <x:v>15693</x:v>
      </x:c>
      <x:c r="G15" s="3" t="n">
        <x:v>5389</x:v>
      </x:c>
      <x:c r="H15" s="3" t="n">
        <x:v>19249</x:v>
      </x:c>
      <x:c r="I15" s="3" t="n">
        <x:v>236472</x:v>
      </x:c>
      <x:c r="J15" s="5" t="n">
        <x:v>0.009066612537636591</x:v>
      </x:c>
      <x:c r="K15" s="5" t="n">
        <x:v>0.06494637842958151</x:v>
      </x:c>
      <x:c r="L15" s="5" t="n">
        <x:v>0.2178228289184343</x:v>
      </x:c>
      <x:c r="M15" s="5" t="n">
        <x:v>0.4803486247843297</x:v>
      </x:c>
      <x:c r="N15" s="5" t="n">
        <x:v>0.1585219391725025</x:v>
      </x:c>
      <x:c r="O15" s="5" t="n">
        <x:v>0.06929361615751548</x:v>
      </x:c>
      <x:c r="P15" s="3" t="n">
        <x:v>29</x:v>
      </x:c>
      <x:c r="Q15" s="3" t="n">
        <x:v>4</x:v>
      </x:c>
      <x:c r="R15" s="3" t="n">
        <x:v>0</x:v>
      </x:c>
      <x:c r="S15" s="3" t="n">
        <x:v>9</x:v>
      </x:c>
      <x:c r="T15" s="3" t="n">
        <x:v>9</x:v>
      </x:c>
      <x:c r="U15" s="3" t="n">
        <x:v>6</x:v>
      </x:c>
      <x:c r="V15" s="3" t="n">
        <x:v>1</x:v>
      </x:c>
      <x:c r="W15" s="3" t="n">
        <x:v>0</x:v>
      </x:c>
      <x:c r="X15" s="3" t="n">
        <x:v>1</x:v>
      </x:c>
      <x:c r="Y15" s="3" t="n">
        <x:v>0</x:v>
      </x:c>
      <x:c r="Z15" s="3" t="n">
        <x:v>202307</x:v>
      </x:c>
      <x:c r="AA15" s="5" t="n">
        <x:v>1976.233333333333</x:v>
      </x:c>
      <x:c r="AB15" s="5" t="n">
        <x:v>1962.633333333333</x:v>
      </x:c>
      <x:c r="AC15" s="5" t="n">
        <x:v>1251.9</x:v>
      </x:c>
      <x:c r="AD15" s="5" t="n">
        <x:v>984.7333333333333</x:v>
      </x:c>
      <x:c r="AE15" s="5" t="n">
        <x:v>1096.833333333333</x:v>
      </x:c>
      <x:c r="AF15" s="5" t="n">
        <x:v>1151.166666666667</x:v>
      </x:c>
      <x:c r="AG15" s="5" t="n">
        <x:v>1071.2</x:v>
      </x:c>
      <x:c r="AH15" s="5" t="n">
        <x:v>1173.4</x:v>
      </x:c>
      <x:c r="AI15" s="5" t="n">
        <x:v>1304.966666666667</x:v>
      </x:c>
      <x:c r="AJ15" s="5" t="n">
        <x:v>1510.2</x:v>
      </x:c>
      <x:c r="AK15" s="5" t="n">
        <x:v>1475.9</x:v>
      </x:c>
      <x:c r="AL15" s="5" t="n">
        <x:v>1520.033333333333</x:v>
      </x:c>
      <x:c r="AM15" s="5" t="n">
        <x:v>1869.166666666667</x:v>
      </x:c>
      <x:c r="AN15" s="5" t="n">
        <x:v>1976.233333333333</x:v>
      </x:c>
      <x:c r="AO15" s="5" t="n">
        <x:v>642.2</x:v>
      </x:c>
      <x:c r="AP15" s="5" t="n">
        <x:v>972.2</x:v>
      </x:c>
      <x:c r="AQ15" s="5" t="n">
        <x:v>260.5666666666667</x:v>
      </x:c>
      <x:c r="AR15" s="5" t="n">
        <x:v>65.90000000000001</x:v>
      </x:c>
      <x:c r="AS15" s="5" t="n">
        <x:v>7.366666666666666</x:v>
      </x:c>
      <x:c r="AT15" s="3" t="n">
        <x:v>28</x:v>
      </x:c>
      <x:c r="AU15" s="5" t="n">
        <x:v>0.3249616273382023</x:v>
      </x:c>
      <x:c r="AV15" s="5" t="n">
        <x:v>0.4919459577985056</x:v>
      </x:c>
      <x:c r="AW15" s="5" t="n">
        <x:v>0.131850152647292</x:v>
      </x:c>
      <x:c r="AX15" s="5" t="n">
        <x:v>0.03334626477979996</x:v>
      </x:c>
      <x:c r="AY15" s="5" t="n">
        <x:v>0.003727630003204749</x:v>
      </x:c>
      <x:c r="AZ15" s="5" t="n">
        <x:v>0.01416836743299543</x:v>
      </x:c>
      <x:c r="BA15" s="5" t="n">
        <x:v>510.7333333333333</x:v>
      </x:c>
      <x:c r="BB15" s="5" t="n">
        <x:v>520.3666666666667</x:v>
      </x:c>
      <x:c r="BC15" s="5" t="n">
        <x:v>525.3333333333334</x:v>
      </x:c>
      <x:c r="BD15" s="5" t="n">
        <x:v>367.8</x:v>
      </x:c>
      <x:c r="BE15" s="5" t="n">
        <x:v>21.26666666666667</x:v>
      </x:c>
      <x:c r="BF15" s="5" t="n">
        <x:v>30.73333333333333</x:v>
      </x:c>
      <x:c r="BG15" s="5" t="n">
        <x:v>0.2584377688194714</x:v>
      </x:c>
      <x:c r="BH15" s="5" t="n">
        <x:v>0.2633123619005853</x:v>
      </x:c>
      <x:c r="BI15" s="5" t="n">
        <x:v>0.2658255604095333</x:v>
      </x:c>
      <x:c r="BJ15" s="5" t="n">
        <x:v>0.1861116264948471</x:v>
      </x:c>
      <x:c r="BK15" s="5" t="n">
        <x:v>0.01076121240744177</x:v>
      </x:c>
      <x:c r="BL15" s="5" t="n">
        <x:v>0.01555146996812117</x:v>
      </x:c>
      <x:c r="BM15" s="3" t="n">
        <x:v>202307</x:v>
      </x:c>
      <x:c r="BN15" s="3" t="n">
        <x:v>30</x:v>
      </x:c>
      <x:c r="BO15" s="3" t="n">
        <x:v>0</x:v>
      </x:c>
      <x:c r="BP15" s="3" t="n">
        <x:v>29</x:v>
      </x:c>
      <x:c r="BQ15" s="5" t="n">
        <x:v>1137.185806451613</x:v>
      </x:c>
      <x:c r="BR15" s="5" t="n">
        <x:v>41.3952317389692</x:v>
      </x:c>
      <x:c r="BS15" s="5" t="n">
        <x:v>0.03640146711656179</x:v>
      </x:c>
      <x:c r="BT15" s="5" t="n">
        <x:v>3.640146711656179</x:v>
      </x:c>
      <x:c r="BU15" s="5" t="n">
        <x:v>1137.185806451613</x:v>
      </x:c>
      <x:c r="BV15" s="5" t="n">
        <x:v>1137.185806451613</x:v>
      </x:c>
      <x:c r="BW15" s="5" t="n">
        <x:v>2337.64752688172</x:v>
      </x:c>
      <x:c r="BX15" s="5" t="n">
        <x:v>0.589597168889023</x:v>
      </x:c>
    </x:row>
    <x:row r="16">
      <x:c r="A16" s="3" t="n">
        <x:v>10000770</x:v>
      </x:c>
      <x:c r="B16" s="6" t="n">
        <x:v>45120</x:v>
      </x:c>
      <x:c r="C16" s="5" t="n">
        <x:v>39059.4</x:v>
      </x:c>
      <x:c r="D16" s="5" t="n">
        <x:v>22594.2</x:v>
      </x:c>
      <x:c r="E16" s="5" t="n">
        <x:v>12461.2</x:v>
      </x:c>
      <x:c r="F16" s="3" t="n">
        <x:v>4004</x:v>
      </x:c>
      <x:c r="G16" s="3" t="n"/>
      <x:c r="H16" s="3" t="n"/>
      <x:c r="I16" s="3" t="n">
        <x:v>135912</x:v>
      </x:c>
      <x:c r="J16" s="5" t="n">
        <x:v>0.004480840543881335</x:v>
      </x:c>
      <x:c r="K16" s="5" t="n">
        <x:v>0.04426393548766849</x:v>
      </x:c>
      <x:c r="L16" s="5" t="n">
        <x:v>0.1630466772617576</x:v>
      </x:c>
      <x:c r="M16" s="5" t="n">
        <x:v>0.4524250985932073</x:v>
      </x:c>
      <x:c r="N16" s="5" t="n">
        <x:v>0.24988227676732</x:v>
      </x:c>
      <x:c r="O16" s="5" t="n">
        <x:v>0.08590117134616516</x:v>
      </x:c>
      <x:c r="P16" s="3" t="n">
        <x:v>20</x:v>
      </x:c>
      <x:c r="Q16" s="3" t="n">
        <x:v>3</x:v>
      </x:c>
      <x:c r="R16" s="3" t="n">
        <x:v>0</x:v>
      </x:c>
      <x:c r="S16" s="3" t="n">
        <x:v>12</x:v>
      </x:c>
      <x:c r="T16" s="3" t="n">
        <x:v>1</x:v>
      </x:c>
      <x:c r="U16" s="3" t="n">
        <x:v>0</x:v>
      </x:c>
      <x:c r="V16" s="3" t="n">
        <x:v>4</x:v>
      </x:c>
      <x:c r="W16" s="3" t="n">
        <x:v>0</x:v>
      </x:c>
      <x:c r="X16" s="3" t="n">
        <x:v>2</x:v>
      </x:c>
      <x:c r="Y16" s="3" t="n">
        <x:v>0</x:v>
      </x:c>
      <x:c r="Z16" s="3" t="n">
        <x:v>202307</x:v>
      </x:c>
      <x:c r="AA16" s="5" t="n">
        <x:v>2044.766666666667</x:v>
      </x:c>
      <x:c r="AB16" s="5" t="n">
        <x:v>1508.6</x:v>
      </x:c>
      <x:c r="AC16" s="5" t="n">
        <x:v>1191.3</x:v>
      </x:c>
      <x:c r="AD16" s="5" t="n">
        <x:v>1115.8</x:v>
      </x:c>
      <x:c r="AE16" s="3" t="n">
        <x:v>1007</x:v>
      </x:c>
      <x:c r="AF16" s="3" t="n">
        <x:v>1012</x:v>
      </x:c>
      <x:c r="AG16" s="5" t="n">
        <x:v>1101.666666666667</x:v>
      </x:c>
      <x:c r="AH16" s="5" t="n">
        <x:v>1019.933333333333</x:v>
      </x:c>
      <x:c r="AI16" s="5" t="n">
        <x:v>972.5666666666667</x:v>
      </x:c>
      <x:c r="AJ16" s="5" t="n">
        <x:v>1149.1</x:v>
      </x:c>
      <x:c r="AK16" s="5" t="n">
        <x:v>1205.866666666667</x:v>
      </x:c>
      <x:c r="AL16" s="5" t="n">
        <x:v>1499.1</x:v>
      </x:c>
      <x:c r="AM16" s="5" t="n">
        <x:v>1731.766666666667</x:v>
      </x:c>
      <x:c r="AN16" s="5" t="n">
        <x:v>2044.766666666667</x:v>
      </x:c>
      <x:c r="AO16" s="5" t="n">
        <x:v>780.5666666666667</x:v>
      </x:c>
      <x:c r="AP16" s="5" t="n">
        <x:v>974.7333333333333</x:v>
      </x:c>
      <x:c r="AQ16" s="5" t="n">
        <x:v>219.1666666666667</x:v>
      </x:c>
      <x:c r="AR16" s="5" t="n">
        <x:v>50.33333333333334</x:v>
      </x:c>
      <x:c r="AS16" s="5" t="n">
        <x:v>7.266666666666667</x:v>
      </x:c>
      <x:c r="AT16" s="5" t="n">
        <x:v>12.7</x:v>
      </x:c>
      <x:c r="AU16" s="5" t="n">
        <x:v>0.3817387476973738</x:v>
      </x:c>
      <x:c r="AV16" s="5" t="n">
        <x:v>0.4766966075998891</x:v>
      </x:c>
      <x:c r="AW16" s="5" t="n">
        <x:v>0.1071841937955431</x:v>
      </x:c>
      <x:c r="AX16" s="5" t="n">
        <x:v>0.02461568557129583</x:v>
      </x:c>
      <x:c r="AY16" s="5" t="n">
        <x:v>0.00355378771824006</x:v>
      </x:c>
      <x:c r="AZ16" s="5" t="n">
        <x:v>0.006210977617658086</x:v>
      </x:c>
      <x:c r="BA16" s="5" t="n">
        <x:v>783.7666666666667</x:v>
      </x:c>
      <x:c r="BB16" s="3" t="n">
        <x:v>717</x:v>
      </x:c>
      <x:c r="BC16" s="5" t="n">
        <x:v>322.2666666666667</x:v>
      </x:c>
      <x:c r="BD16" s="5" t="n">
        <x:v>171.9</x:v>
      </x:c>
      <x:c r="BE16" s="5" t="n">
        <x:v>0.06666666666666667</x:v>
      </x:c>
      <x:c r="BF16" s="5" t="n">
        <x:v>49.76666666666667</x:v>
      </x:c>
      <x:c r="BG16" s="5" t="n">
        <x:v>0.3833037184356813</x:v>
      </x:c>
      <x:c r="BH16" s="5" t="n">
        <x:v>0.3506512560520353</x:v>
      </x:c>
      <x:c r="BI16" s="5" t="n">
        <x:v>0.1576055947703894</x:v>
      </x:c>
      <x:c r="BJ16" s="5" t="n">
        <x:v>0.08406827184845866</x:v>
      </x:c>
      <x:c r="BK16" s="5" t="n">
        <x:v>3.260355704807395e-05</x:v>
      </x:c>
      <x:c r="BL16" s="5" t="n">
        <x:v>0.0243385553363872</x:v>
      </x:c>
      <x:c r="BM16" s="3" t="n">
        <x:v>202307</x:v>
      </x:c>
      <x:c r="BN16" s="3" t="n">
        <x:v>30</x:v>
      </x:c>
      <x:c r="BO16" s="3" t="n">
        <x:v>0</x:v>
      </x:c>
      <x:c r="BP16" s="3" t="n">
        <x:v>29</x:v>
      </x:c>
      <x:c r="BQ16" s="5" t="n">
        <x:v>970.0215770609325</x:v>
      </x:c>
      <x:c r="BR16" s="5" t="n">
        <x:v>53.16188357434186</x:v>
      </x:c>
      <x:c r="BS16" s="5" t="n">
        <x:v>0.05480484644003178</x:v>
      </x:c>
      <x:c r="BT16" s="5" t="n">
        <x:v>5.480484644003178</x:v>
      </x:c>
      <x:c r="BU16" s="5" t="n">
        <x:v>970.0215770609325</x:v>
      </x:c>
      <x:c r="BV16" s="5" t="n">
        <x:v>970.0215770609325</x:v>
      </x:c>
      <x:c r="BW16" s="5" t="n">
        <x:v>2511.716200716846</x:v>
      </x:c>
      <x:c r="BX16" s="5" t="n">
        <x:v>0.7673615167476908</x:v>
      </x:c>
    </x:row>
    <x:row r="17">
      <x:c r="A17" s="3" t="n">
        <x:v>10000771</x:v>
      </x:c>
      <x:c r="B17" s="6" t="n">
        <x:v>45120</x:v>
      </x:c>
      <x:c r="C17" s="5" t="n">
        <x:v>28997.9</x:v>
      </x:c>
      <x:c r="D17" s="5" t="n">
        <x:v>19782.8</x:v>
      </x:c>
      <x:c r="E17" s="5" t="n">
        <x:v>7706.6</x:v>
      </x:c>
      <x:c r="F17" s="5" t="n">
        <x:v>1508.5</x:v>
      </x:c>
      <x:c r="G17" s="3" t="n"/>
      <x:c r="H17" s="3" t="n"/>
      <x:c r="I17" s="3" t="n">
        <x:v>90017</x:v>
      </x:c>
      <x:c r="J17" s="5" t="n">
        <x:v>0.004243642867458369</x:v>
      </x:c>
      <x:c r="K17" s="5" t="n">
        <x:v>0.04611351189219814</x:v>
      </x:c>
      <x:c r="L17" s="5" t="n">
        <x:v>0.1702456202717265</x:v>
      </x:c>
      <x:c r="M17" s="5" t="n">
        <x:v>0.4787762311563372</x:v>
      </x:c>
      <x:c r="N17" s="5" t="n">
        <x:v>0.2236577535354433</x:v>
      </x:c>
      <x:c r="O17" s="5" t="n">
        <x:v>0.0769632402768366</x:v>
      </x:c>
      <x:c r="P17" s="3" t="n">
        <x:v>16</x:v>
      </x:c>
      <x:c r="Q17" s="3" t="n">
        <x:v>0</x:v>
      </x:c>
      <x:c r="R17" s="3" t="n">
        <x:v>0</x:v>
      </x:c>
      <x:c r="S17" s="3" t="n">
        <x:v>7</x:v>
      </x:c>
      <x:c r="T17" s="3" t="n">
        <x:v>4</x:v>
      </x:c>
      <x:c r="U17" s="3" t="n">
        <x:v>4</x:v>
      </x:c>
      <x:c r="V17" s="3" t="n">
        <x:v>1</x:v>
      </x:c>
      <x:c r="W17" s="3" t="n">
        <x:v>0</x:v>
      </x:c>
      <x:c r="X17" s="3" t="n">
        <x:v>0</x:v>
      </x:c>
      <x:c r="Y17" s="3" t="n">
        <x:v>0</x:v>
      </x:c>
      <x:c r="Z17" s="3" t="n">
        <x:v>202307</x:v>
      </x:c>
      <x:c r="AA17" s="5" t="n">
        <x:v>1567.633333333333</x:v>
      </x:c>
      <x:c r="AB17" s="5" t="n">
        <x:v>1491.1</x:v>
      </x:c>
      <x:c r="AC17" s="5" t="n">
        <x:v>1222.566666666667</x:v>
      </x:c>
      <x:c r="AD17" s="5" t="n">
        <x:v>1184.9</x:v>
      </x:c>
      <x:c r="AE17" s="5" t="n">
        <x:v>1026.366666666667</x:v>
      </x:c>
      <x:c r="AF17" s="5" t="n">
        <x:v>1032.566666666667</x:v>
      </x:c>
      <x:c r="AG17" s="5" t="n">
        <x:v>1137.033333333333</x:v>
      </x:c>
      <x:c r="AH17" s="5" t="n">
        <x:v>980.5</x:v>
      </x:c>
      <x:c r="AI17" s="5" t="n">
        <x:v>944.5</x:v>
      </x:c>
      <x:c r="AJ17" s="5" t="n">
        <x:v>1140.833333333333</x:v>
      </x:c>
      <x:c r="AK17" s="5" t="n">
        <x:v>1142.433333333333</x:v>
      </x:c>
      <x:c r="AL17" s="5" t="n">
        <x:v>1174.7</x:v>
      </x:c>
      <x:c r="AM17" s="5" t="n">
        <x:v>1323.333333333333</x:v>
      </x:c>
      <x:c r="AN17" s="5" t="n">
        <x:v>1567.633333333333</x:v>
      </x:c>
      <x:c r="AO17" s="5" t="n">
        <x:v>576.6666666666666</x:v>
      </x:c>
      <x:c r="AP17" s="5" t="n">
        <x:v>763.9333333333333</x:v>
      </x:c>
      <x:c r="AQ17" s="5" t="n">
        <x:v>168.9</x:v>
      </x:c>
      <x:c r="AR17" s="5" t="n">
        <x:v>42.63333333333333</x:v>
      </x:c>
      <x:c r="AS17" s="5" t="n">
        <x:v>5.8</x:v>
      </x:c>
      <x:c r="AT17" s="5" t="n">
        <x:v>9.699999999999999</x:v>
      </x:c>
      <x:c r="AU17" s="5" t="n">
        <x:v>0.3678581300899444</x:v>
      </x:c>
      <x:c r="AV17" s="5" t="n">
        <x:v>0.4873163367284016</x:v>
      </x:c>
      <x:c r="AW17" s="5" t="n">
        <x:v>0.107742031512471</x:v>
      </x:c>
      <x:c r="AX17" s="5" t="n">
        <x:v>0.0271959854557826</x:v>
      </x:c>
      <x:c r="AY17" s="5" t="n">
        <x:v>0.003699844776627187</x:v>
      </x:c>
      <x:c r="AZ17" s="5" t="n">
        <x:v>0.006187671436773054</x:v>
      </x:c>
      <x:c r="BA17" s="5" t="n">
        <x:v>979.6</x:v>
      </x:c>
      <x:c r="BB17" s="5" t="n">
        <x:v>222.5</x:v>
      </x:c>
      <x:c r="BC17" s="5" t="n">
        <x:v>207.1333333333333</x:v>
      </x:c>
      <x:c r="BD17" s="5" t="n">
        <x:v>123.7333333333333</x:v>
      </x:c>
      <x:c r="BE17" s="3" t="n">
        <x:v>0</x:v>
      </x:c>
      <x:c r="BF17" s="5" t="n">
        <x:v>34.66666666666666</x:v>
      </x:c>
      <x:c r="BG17" s="5" t="n">
        <x:v>0.6248910246868953</x:v>
      </x:c>
      <x:c r="BH17" s="5" t="n">
        <x:v>0.1419337004826809</x:v>
      </x:c>
      <x:c r="BI17" s="5" t="n">
        <x:v>0.1321312381721916</x:v>
      </x:c>
      <x:c r="BJ17" s="5" t="n">
        <x:v>0.07893002190138</x:v>
      </x:c>
      <x:c r="BK17" s="3" t="n">
        <x:v>0</x:v>
      </x:c>
      <x:c r="BL17" s="5" t="n">
        <x:v>0.02211401475685215</x:v>
      </x:c>
      <x:c r="BM17" s="3" t="n">
        <x:v>202307</x:v>
      </x:c>
      <x:c r="BN17" s="3" t="n">
        <x:v>30</x:v>
      </x:c>
      <x:c r="BO17" s="3" t="n">
        <x:v>0</x:v>
      </x:c>
      <x:c r="BP17" s="3" t="n">
        <x:v>29</x:v>
      </x:c>
      <x:c r="BQ17" s="5" t="n">
        <x:v>1010.884372759857</x:v>
      </x:c>
      <x:c r="BR17" s="5" t="n">
        <x:v>28.2235298479792</x:v>
      </x:c>
      <x:c r="BS17" s="5" t="n">
        <x:v>0.02791964205651432</x:v>
      </x:c>
      <x:c r="BT17" s="5" t="n">
        <x:v>2.791964205651432</x:v>
      </x:c>
      <x:c r="BU17" s="5" t="n">
        <x:v>1010.884372759857</x:v>
      </x:c>
      <x:c r="BV17" s="5" t="n">
        <x:v>1010.884372759857</x:v>
      </x:c>
      <x:c r="BW17" s="5" t="n">
        <x:v>1829.366738351254</x:v>
      </x:c>
      <x:c r="BX17" s="5" t="n">
        <x:v>0.6025788103465664</x:v>
      </x:c>
    </x:row>
    <x:row r="18">
      <x:c r="A18" s="3" t="n">
        <x:v>10000772</x:v>
      </x:c>
      <x:c r="B18" s="6" t="n">
        <x:v>45144</x:v>
      </x:c>
      <x:c r="C18" s="5" t="n">
        <x:v>39716.9</x:v>
      </x:c>
      <x:c r="D18" s="5" t="n">
        <x:v>19620.4</x:v>
      </x:c>
      <x:c r="E18" s="5" t="n">
        <x:v>7747.5</x:v>
      </x:c>
      <x:c r="F18" s="3" t="n">
        <x:v>6605</x:v>
      </x:c>
      <x:c r="G18" s="3" t="n">
        <x:v>5744</x:v>
      </x:c>
      <x:c r="H18" s="3" t="n"/>
      <x:c r="I18" s="3" t="n">
        <x:v>88062</x:v>
      </x:c>
      <x:c r="J18" s="5" t="n">
        <x:v>0.003486180191228907</x:v>
      </x:c>
      <x:c r="K18" s="5" t="n">
        <x:v>0.05221321341781927</x:v>
      </x:c>
      <x:c r="L18" s="5" t="n">
        <x:v>0.2078081351774886</x:v>
      </x:c>
      <x:c r="M18" s="5" t="n">
        <x:v>0.4928686607163135</x:v>
      </x:c>
      <x:c r="N18" s="5" t="n">
        <x:v>0.1690286389134928</x:v>
      </x:c>
      <x:c r="O18" s="5" t="n">
        <x:v>0.07459517158365697</x:v>
      </x:c>
      <x:c r="P18" s="3" t="n">
        <x:v>15</x:v>
      </x:c>
      <x:c r="Q18" s="3" t="n">
        <x:v>1</x:v>
      </x:c>
      <x:c r="R18" s="3" t="n">
        <x:v>0</x:v>
      </x:c>
      <x:c r="S18" s="3" t="n">
        <x:v>4</x:v>
      </x:c>
      <x:c r="T18" s="3" t="n">
        <x:v>4</x:v>
      </x:c>
      <x:c r="U18" s="3" t="n">
        <x:v>3</x:v>
      </x:c>
      <x:c r="V18" s="3" t="n">
        <x:v>3</x:v>
      </x:c>
      <x:c r="W18" s="3" t="n">
        <x:v>0</x:v>
      </x:c>
      <x:c r="X18" s="3" t="n">
        <x:v>1</x:v>
      </x:c>
      <x:c r="Y18" s="3" t="n">
        <x:v>0</x:v>
      </x:c>
      <x:c r="Z18" s="3" t="n">
        <x:v>202308</x:v>
      </x:c>
      <x:c r="AA18" s="5" t="n">
        <x:v>1725.833333333333</x:v>
      </x:c>
      <x:c r="AB18" s="5" t="n">
        <x:v>1795.366666666667</x:v>
      </x:c>
      <x:c r="AC18" s="3" t="n">
        <x:v>1276</x:v>
      </x:c>
      <x:c r="AD18" s="5" t="n">
        <x:v>993.8666666666667</x:v>
      </x:c>
      <x:c r="AE18" s="5" t="n">
        <x:v>1069.966666666667</x:v>
      </x:c>
      <x:c r="AF18" s="5" t="n">
        <x:v>1086.5</x:v>
      </x:c>
      <x:c r="AG18" s="5" t="n">
        <x:v>1000.466666666667</x:v>
      </x:c>
      <x:c r="AH18" s="5" t="n">
        <x:v>934.5666666666667</x:v>
      </x:c>
      <x:c r="AI18" s="5" t="n">
        <x:v>1108.833333333333</x:v>
      </x:c>
      <x:c r="AJ18" s="5" t="n">
        <x:v>1167.2</x:v>
      </x:c>
      <x:c r="AK18" s="5" t="n">
        <x:v>1190.666666666667</x:v>
      </x:c>
      <x:c r="AL18" s="5" t="n">
        <x:v>1299.733333333333</x:v>
      </x:c>
      <x:c r="AM18" s="5" t="n">
        <x:v>1525.133333333333</x:v>
      </x:c>
      <x:c r="AN18" s="5" t="n">
        <x:v>1725.833333333333</x:v>
      </x:c>
      <x:c r="AO18" s="5" t="n">
        <x:v>526.7666666666667</x:v>
      </x:c>
      <x:c r="AP18" s="5" t="n">
        <x:v>878.5666666666667</x:v>
      </x:c>
      <x:c r="AQ18" s="5" t="n">
        <x:v>234.6333333333333</x:v>
      </x:c>
      <x:c r="AR18" s="5" t="n">
        <x:v>58.76666666666667</x:v>
      </x:c>
      <x:c r="AS18" s="5" t="n">
        <x:v>5.233333333333333</x:v>
      </x:c>
      <x:c r="AT18" s="5" t="n">
        <x:v>21.86666666666667</x:v>
      </x:c>
      <x:c r="AU18" s="5" t="n">
        <x:v>0.3052245292129406</x:v>
      </x:c>
      <x:c r="AV18" s="5" t="n">
        <x:v>0.509068083051666</x:v>
      </x:c>
      <x:c r="AW18" s="5" t="n">
        <x:v>0.1359536455818445</x:v>
      </x:c>
      <x:c r="AX18" s="5" t="n">
        <x:v>0.03405118300338001</x:v>
      </x:c>
      <x:c r="AY18" s="5" t="n">
        <x:v>0.003032351521004346</x:v>
      </x:c>
      <x:c r="AZ18" s="5" t="n">
        <x:v>0.01267020762916466</x:v>
      </x:c>
      <x:c r="BA18" s="3" t="n">
        <x:v>503</x:v>
      </x:c>
      <x:c r="BB18" s="5" t="n">
        <x:v>455.1</x:v>
      </x:c>
      <x:c r="BC18" s="5" t="n">
        <x:v>372.0333333333334</x:v>
      </x:c>
      <x:c r="BD18" s="5" t="n">
        <x:v>277.7333333333333</x:v>
      </x:c>
      <x:c r="BE18" s="5" t="n">
        <x:v>96.96666666666667</x:v>
      </x:c>
      <x:c r="BF18" s="3" t="n">
        <x:v>21</x:v>
      </x:c>
      <x:c r="BG18" s="5" t="n">
        <x:v>0.2914534041525833</x:v>
      </x:c>
      <x:c r="BH18" s="5" t="n">
        <x:v>0.2636986962819894</x:v>
      </x:c>
      <x:c r="BI18" s="5" t="n">
        <x:v>0.2155673587638822</x:v>
      </x:c>
      <x:c r="BJ18" s="5" t="n">
        <x:v>0.1609270883631096</x:v>
      </x:c>
      <x:c r="BK18" s="5" t="n">
        <x:v>0.05618541767262192</x:v>
      </x:c>
      <x:c r="BL18" s="5" t="n">
        <x:v>0.01216803476581362</x:v>
      </x:c>
      <x:c r="BM18" s="3" t="n">
        <x:v>202308</x:v>
      </x:c>
      <x:c r="BN18" s="3" t="n">
        <x:v>29</x:v>
      </x:c>
      <x:c r="BO18" s="3" t="n">
        <x:v>0</x:v>
      </x:c>
      <x:c r="BP18" s="3" t="n">
        <x:v>28</x:v>
      </x:c>
      <x:c r="BQ18" s="5" t="n">
        <x:v>1073.520229885057</x:v>
      </x:c>
      <x:c r="BR18" s="5" t="n">
        <x:v>27.66694581280786</x:v>
      </x:c>
      <x:c r="BS18" s="5" t="n">
        <x:v>0.02577216995321102</x:v>
      </x:c>
      <x:c r="BT18" s="5" t="n">
        <x:v>2.577216995321102</x:v>
      </x:c>
      <x:c r="BU18" s="5" t="n">
        <x:v>1073.520229885057</x:v>
      </x:c>
      <x:c r="BV18" s="5" t="n">
        <x:v>1073.520229885057</x:v>
      </x:c>
      <x:c r="BW18" s="5" t="n">
        <x:v>1848.194712643677</x:v>
      </x:c>
      <x:c r="BX18" s="5" t="n">
        <x:v>0.5083971468503194</x:v>
      </x:c>
    </x:row>
    <x:row r="19">
      <x:c r="A19" s="3" t="n">
        <x:v>10000801</x:v>
      </x:c>
      <x:c r="B19" s="6" t="n">
        <x:v>45149</x:v>
      </x:c>
      <x:c r="C19" s="5" t="n">
        <x:v>51934.9</x:v>
      </x:c>
      <x:c r="D19" s="3" t="n">
        <x:v>30000</x:v>
      </x:c>
      <x:c r="E19" s="5" t="n">
        <x:v>15624.5</x:v>
      </x:c>
      <x:c r="F19" s="5" t="n">
        <x:v>5770.4</x:v>
      </x:c>
      <x:c r="G19" s="3" t="n">
        <x:v>540</x:v>
      </x:c>
      <x:c r="H19" s="3" t="n"/>
      <x:c r="I19" s="3" t="n">
        <x:v>198401</x:v>
      </x:c>
      <x:c r="J19" s="5" t="n">
        <x:v>0.004611871915968165</x:v>
      </x:c>
      <x:c r="K19" s="5" t="n">
        <x:v>0.03266112569997127</x:v>
      </x:c>
      <x:c r="L19" s="5" t="n">
        <x:v>0.1363601997973801</x:v>
      </x:c>
      <x:c r="M19" s="5" t="n">
        <x:v>0.4812324534654563</x:v>
      </x:c>
      <x:c r="N19" s="5" t="n">
        <x:v>0.2778211803367927</x:v>
      </x:c>
      <x:c r="O19" s="5" t="n">
        <x:v>0.06731316878443153</x:v>
      </x:c>
      <x:c r="P19" s="3" t="n">
        <x:v>38</x:v>
      </x:c>
      <x:c r="Q19" s="3" t="n">
        <x:v>7</x:v>
      </x:c>
      <x:c r="R19" s="3" t="n">
        <x:v>0</x:v>
      </x:c>
      <x:c r="S19" s="3" t="n">
        <x:v>20</x:v>
      </x:c>
      <x:c r="T19" s="3" t="n">
        <x:v>2</x:v>
      </x:c>
      <x:c r="U19" s="3" t="n">
        <x:v>7</x:v>
      </x:c>
      <x:c r="V19" s="3" t="n">
        <x:v>2</x:v>
      </x:c>
      <x:c r="W19" s="3" t="n">
        <x:v>1</x:v>
      </x:c>
      <x:c r="X19" s="3" t="n">
        <x:v>2</x:v>
      </x:c>
      <x:c r="Y19" s="3" t="n">
        <x:v>0</x:v>
      </x:c>
      <x:c r="Z19" s="3" t="n">
        <x:v>202308</x:v>
      </x:c>
      <x:c r="AA19" s="5" t="n">
        <x:v>2932.233333333333</x:v>
      </x:c>
      <x:c r="AB19" s="5" t="n">
        <x:v>2469.066666666667</x:v>
      </x:c>
      <x:c r="AC19" s="5" t="n">
        <x:v>1777.6</x:v>
      </x:c>
      <x:c r="AD19" s="3" t="n">
        <x:v>1778</x:v>
      </x:c>
      <x:c r="AE19" s="5" t="n">
        <x:v>1899.833333333333</x:v>
      </x:c>
      <x:c r="AF19" s="5" t="n">
        <x:v>1955.533333333333</x:v>
      </x:c>
      <x:c r="AG19" s="5" t="n">
        <x:v>1714.3</x:v>
      </x:c>
      <x:c r="AH19" s="5" t="n">
        <x:v>1634.7</x:v>
      </x:c>
      <x:c r="AI19" s="5" t="n">
        <x:v>1987.866666666667</x:v>
      </x:c>
      <x:c r="AJ19" s="5" t="n">
        <x:v>2223.033333333333</x:v>
      </x:c>
      <x:c r="AK19" s="5" t="n">
        <x:v>2264.366666666667</x:v>
      </x:c>
      <x:c r="AL19" s="5" t="n">
        <x:v>2452.133333333333</x:v>
      </x:c>
      <x:c r="AM19" s="5" t="n">
        <x:v>2920.9</x:v>
      </x:c>
      <x:c r="AN19" s="5" t="n">
        <x:v>2932.233333333333</x:v>
      </x:c>
      <x:c r="AO19" s="5" t="n">
        <x:v>1042.866666666667</x:v>
      </x:c>
      <x:c r="AP19" s="5" t="n">
        <x:v>1493.066666666667</x:v>
      </x:c>
      <x:c r="AQ19" s="5" t="n">
        <x:v>296.3666666666667</x:v>
      </x:c>
      <x:c r="AR19" s="5" t="n">
        <x:v>67.76666666666667</x:v>
      </x:c>
      <x:c r="AS19" s="5" t="n">
        <x:v>9.300000000000001</x:v>
      </x:c>
      <x:c r="AT19" s="5" t="n">
        <x:v>22.86666666666667</x:v>
      </x:c>
      <x:c r="AU19" s="5" t="n">
        <x:v>0.3556560983095934</x:v>
      </x:c>
      <x:c r="AV19" s="5" t="n">
        <x:v>0.5091909466049769</x:v>
      </x:c>
      <x:c r="AW19" s="5" t="n">
        <x:v>0.1010719929064308</x:v>
      </x:c>
      <x:c r="AX19" s="5" t="n">
        <x:v>0.0231109393295213</x:v>
      </x:c>
      <x:c r="AY19" s="5" t="n">
        <x:v>0.003171643911921517</x:v>
      </x:c>
      <x:c r="AZ19" s="5" t="n">
        <x:v>0.00779837893755613</x:v>
      </x:c>
      <x:c r="BA19" s="5" t="n">
        <x:v>1012.766666666667</x:v>
      </x:c>
      <x:c r="BB19" s="5" t="n">
        <x:v>783.2666666666667</x:v>
      </x:c>
      <x:c r="BC19" s="5" t="n">
        <x:v>739.8666666666667</x:v>
      </x:c>
      <x:c r="BD19" s="5" t="n">
        <x:v>365.2</x:v>
      </x:c>
      <x:c r="BE19" s="5" t="n">
        <x:v>0.8</x:v>
      </x:c>
      <x:c r="BF19" s="5" t="n">
        <x:v>30.33333333333333</x:v>
      </x:c>
      <x:c r="BG19" s="5" t="n">
        <x:v>0.3453908852183205</x:v>
      </x:c>
      <x:c r="BH19" s="5" t="n">
        <x:v>0.2671228983596121</x:v>
      </x:c>
      <x:c r="BI19" s="5" t="n">
        <x:v>0.2523218934373118</x:v>
      </x:c>
      <x:c r="BJ19" s="5" t="n">
        <x:v>0.1245467050143804</x:v>
      </x:c>
      <x:c r="BK19" s="5" t="n">
        <x:v>0.0002728295838212057</x:v>
      </x:c>
      <x:c r="BL19" s="5" t="n">
        <x:v>0.01034478838655405</x:v>
      </x:c>
      <x:c r="BM19" s="3" t="n">
        <x:v>202308</x:v>
      </x:c>
      <x:c r="BN19" s="3" t="n">
        <x:v>29</x:v>
      </x:c>
      <x:c r="BO19" s="3" t="n">
        <x:v>0</x:v>
      </x:c>
      <x:c r="BP19" s="3" t="n">
        <x:v>28</x:v>
      </x:c>
      <x:c r="BQ19" s="5" t="n">
        <x:v>1788.561379310346</x:v>
      </x:c>
      <x:c r="BR19" s="5" t="n">
        <x:v>56.34003284072246</x:v>
      </x:c>
      <x:c r="BS19" s="5" t="n">
        <x:v>0.03150019534831212</x:v>
      </x:c>
      <x:c r="BT19" s="5" t="n">
        <x:v>3.150019534831213</x:v>
      </x:c>
      <x:c r="BU19" s="5" t="n">
        <x:v>1788.561379310346</x:v>
      </x:c>
      <x:c r="BV19" s="5" t="n">
        <x:v>1788.561379310346</x:v>
      </x:c>
      <x:c r="BW19" s="5" t="n">
        <x:v>3366.082298850574</x:v>
      </x:c>
      <x:c r="BX19" s="5" t="n">
        <x:v>0.6749221897464489</x:v>
      </x:c>
    </x:row>
    <x:row r="20">
      <x:c r="A20" s="3" t="n">
        <x:v>10000802</x:v>
      </x:c>
      <x:c r="B20" s="6" t="n">
        <x:v>45149</x:v>
      </x:c>
      <x:c r="C20" s="5" t="n">
        <x:v>47104.19999999998</x:v>
      </x:c>
      <x:c r="D20" s="5" t="n">
        <x:v>33717.6</x:v>
      </x:c>
      <x:c r="E20" s="5" t="n">
        <x:v>9025.399999999991</x:v>
      </x:c>
      <x:c r="F20" s="5" t="n">
        <x:v>4361.2</x:v>
      </x:c>
      <x:c r="G20" s="3" t="n"/>
      <x:c r="H20" s="3" t="n"/>
      <x:c r="I20" s="3" t="n">
        <x:v>179512</x:v>
      </x:c>
      <x:c r="J20" s="5" t="n">
        <x:v>0.00713044253308971</x:v>
      </x:c>
      <x:c r="K20" s="5" t="n">
        <x:v>0.0561912295556843</x:v>
      </x:c>
      <x:c r="L20" s="5" t="n">
        <x:v>0.1813472079860956</x:v>
      </x:c>
      <x:c r="M20" s="5" t="n">
        <x:v>0.4318485672267035</x:v>
      </x:c>
      <x:c r="N20" s="5" t="n">
        <x:v>0.1950955924952092</x:v>
      </x:c>
      <x:c r="O20" s="5" t="n">
        <x:v>0.1283869602032176</x:v>
      </x:c>
      <x:c r="P20" s="3" t="n">
        <x:v>45</x:v>
      </x:c>
      <x:c r="Q20" s="3" t="n">
        <x:v>3</x:v>
      </x:c>
      <x:c r="R20" s="3" t="n">
        <x:v>2</x:v>
      </x:c>
      <x:c r="S20" s="3" t="n">
        <x:v>26</x:v>
      </x:c>
      <x:c r="T20" s="3" t="n">
        <x:v>5</x:v>
      </x:c>
      <x:c r="U20" s="3" t="n">
        <x:v>8</x:v>
      </x:c>
      <x:c r="V20" s="3" t="n">
        <x:v>1</x:v>
      </x:c>
      <x:c r="W20" s="3" t="n">
        <x:v>0</x:v>
      </x:c>
      <x:c r="X20" s="3" t="n">
        <x:v>2</x:v>
      </x:c>
      <x:c r="Y20" s="3" t="n">
        <x:v>0</x:v>
      </x:c>
      <x:c r="Z20" s="3" t="n">
        <x:v>202308</x:v>
      </x:c>
      <x:c r="AA20" s="5" t="n">
        <x:v>1889.3</x:v>
      </x:c>
      <x:c r="AB20" s="5" t="n">
        <x:v>1637.633333333333</x:v>
      </x:c>
      <x:c r="AC20" s="5" t="n">
        <x:v>1143.666666666667</x:v>
      </x:c>
      <x:c r="AD20" s="5" t="n">
        <x:v>1060.9</x:v>
      </x:c>
      <x:c r="AE20" s="5" t="n">
        <x:v>1127.066666666667</x:v>
      </x:c>
      <x:c r="AF20" s="5" t="n">
        <x:v>1305.5</x:v>
      </x:c>
      <x:c r="AG20" s="5" t="n">
        <x:v>1195.966666666667</x:v>
      </x:c>
      <x:c r="AH20" s="5" t="n">
        <x:v>1171.266666666667</x:v>
      </x:c>
      <x:c r="AI20" s="5" t="n">
        <x:v>1380.033333333333</x:v>
      </x:c>
      <x:c r="AJ20" s="5" t="n">
        <x:v>1517.833333333333</x:v>
      </x:c>
      <x:c r="AK20" s="5" t="n">
        <x:v>1527.033333333333</x:v>
      </x:c>
      <x:c r="AL20" s="5" t="n">
        <x:v>1619.2</x:v>
      </x:c>
      <x:c r="AM20" s="5" t="n">
        <x:v>1949.4</x:v>
      </x:c>
      <x:c r="AN20" s="5" t="n">
        <x:v>1889.3</x:v>
      </x:c>
      <x:c r="AO20" s="5" t="n">
        <x:v>762.9333333333333</x:v>
      </x:c>
      <x:c r="AP20" s="5" t="n">
        <x:v>880.7333333333333</x:v>
      </x:c>
      <x:c r="AQ20" s="5" t="n">
        <x:v>183.7333333333333</x:v>
      </x:c>
      <x:c r="AR20" s="5" t="n">
        <x:v>43.1</x:v>
      </x:c>
      <x:c r="AS20" s="5" t="n">
        <x:v>6.033333333333333</x:v>
      </x:c>
      <x:c r="AT20" s="5" t="n">
        <x:v>12.76666666666667</x:v>
      </x:c>
      <x:c r="AU20" s="5" t="n">
        <x:v>0.4038179925545616</x:v>
      </x:c>
      <x:c r="AV20" s="5" t="n">
        <x:v>0.4661691278956933</x:v>
      </x:c>
      <x:c r="AW20" s="5" t="n">
        <x:v>0.09724942218458335</x:v>
      </x:c>
      <x:c r="AX20" s="5" t="n">
        <x:v>0.02281268194569417</x:v>
      </x:c>
      <x:c r="AY20" s="5" t="n">
        <x:v>0.003193422608020607</x:v>
      </x:c>
      <x:c r="AZ20" s="5" t="n">
        <x:v>0.006757352811446921</x:v>
      </x:c>
      <x:c r="BA20" s="5" t="n">
        <x:v>1025.7</x:v>
      </x:c>
      <x:c r="BB20" s="5" t="n">
        <x:v>440.5333333333334</x:v>
      </x:c>
      <x:c r="BC20" s="5" t="n">
        <x:v>283.1666666666667</x:v>
      </x:c>
      <x:c r="BD20" s="5" t="n">
        <x:v>109.8666666666667</x:v>
      </x:c>
      <x:c r="BE20" s="5" t="n">
        <x:v>0.7</x:v>
      </x:c>
      <x:c r="BF20" s="5" t="n">
        <x:v>29.33333333333333</x:v>
      </x:c>
      <x:c r="BG20" s="5" t="n">
        <x:v>0.5428994865823321</x:v>
      </x:c>
      <x:c r="BH20" s="5" t="n">
        <x:v>0.2331727800419909</x:v>
      </x:c>
      <x:c r="BI20" s="5" t="n">
        <x:v>0.1498791439510224</x:v>
      </x:c>
      <x:c r="BJ20" s="5" t="n">
        <x:v>0.05815204925986697</x:v>
      </x:c>
      <x:c r="BK20" s="5" t="n">
        <x:v>0.0003705075954057058</x:v>
      </x:c>
      <x:c r="BL20" s="5" t="n">
        <x:v>0.01552603256938196</x:v>
      </x:c>
      <x:c r="BM20" s="3" t="n">
        <x:v>202308</x:v>
      </x:c>
      <x:c r="BN20" s="3" t="n">
        <x:v>29</x:v>
      </x:c>
      <x:c r="BO20" s="3" t="n">
        <x:v>0</x:v>
      </x:c>
      <x:c r="BP20" s="3" t="n">
        <x:v>28</x:v>
      </x:c>
      <x:c r="BQ20" s="5" t="n">
        <x:v>1225.388275862069</x:v>
      </x:c>
      <x:c r="BR20" s="5" t="n">
        <x:v>29.71430213464696</x:v>
      </x:c>
      <x:c r="BS20" s="5" t="n">
        <x:v>0.02424888724656905</x:v>
      </x:c>
      <x:c r="BT20" s="5" t="n">
        <x:v>2.424888724656905</x:v>
      </x:c>
      <x:c r="BU20" s="5" t="n">
        <x:v>1225.388275862069</x:v>
      </x:c>
      <x:c r="BV20" s="5" t="n">
        <x:v>1225.388275862069</x:v>
      </x:c>
      <x:c r="BW20" s="5" t="n">
        <x:v>2057.388735632184</x:v>
      </x:c>
      <x:c r="BX20" s="5" t="n">
        <x:v>0.5953964963451789</x:v>
      </x:c>
    </x:row>
    <x:row r="21">
      <x:c r="A21" s="3" t="n">
        <x:v>10000822</x:v>
      </x:c>
      <x:c r="B21" s="6" t="n">
        <x:v>45192</x:v>
      </x:c>
      <x:c r="C21" s="3" t="n">
        <x:v>37317</x:v>
      </x:c>
      <x:c r="D21" s="3" t="n">
        <x:v>17491</x:v>
      </x:c>
      <x:c r="E21" s="3" t="n">
        <x:v>13752</x:v>
      </x:c>
      <x:c r="F21" s="3" t="n">
        <x:v>6074</x:v>
      </x:c>
      <x:c r="G21" s="3" t="n"/>
      <x:c r="H21" s="3" t="n"/>
      <x:c r="I21" s="3" t="n">
        <x:v>102680</x:v>
      </x:c>
      <x:c r="J21" s="5" t="n">
        <x:v>0.004772107518504091</x:v>
      </x:c>
      <x:c r="K21" s="5" t="n">
        <x:v>0.05247370471367355</x:v>
      </x:c>
      <x:c r="L21" s="5" t="n">
        <x:v>0.1749026100506428</x:v>
      </x:c>
      <x:c r="M21" s="5" t="n">
        <x:v>0.4499902610050643</x:v>
      </x:c>
      <x:c r="N21" s="5" t="n">
        <x:v>0.2378749513050253</x:v>
      </x:c>
      <x:c r="O21" s="5" t="n">
        <x:v>0.07998636540708999</x:v>
      </x:c>
      <x:c r="P21" s="3" t="n">
        <x:v>14</x:v>
      </x:c>
      <x:c r="Q21" s="3" t="n">
        <x:v>1</x:v>
      </x:c>
      <x:c r="R21" s="3" t="n">
        <x:v>0</x:v>
      </x:c>
      <x:c r="S21" s="3" t="n">
        <x:v>8</x:v>
      </x:c>
      <x:c r="T21" s="3" t="n">
        <x:v>2</x:v>
      </x:c>
      <x:c r="U21" s="3" t="n">
        <x:v>0</x:v>
      </x:c>
      <x:c r="V21" s="3" t="n">
        <x:v>3</x:v>
      </x:c>
      <x:c r="W21" s="3" t="n">
        <x:v>0</x:v>
      </x:c>
      <x:c r="X21" s="3" t="n">
        <x:v>1</x:v>
      </x:c>
      <x:c r="Y21" s="3" t="n">
        <x:v>0</x:v>
      </x:c>
      <x:c r="Z21" s="3" t="n">
        <x:v>202309</x:v>
      </x:c>
      <x:c r="AA21" s="5" t="n">
        <x:v>1515.4</x:v>
      </x:c>
      <x:c r="AB21" s="5" t="n">
        <x:v>1266.633333333333</x:v>
      </x:c>
      <x:c r="AC21" s="5" t="n">
        <x:v>837.3333333333334</x:v>
      </x:c>
      <x:c r="AD21" s="5" t="n">
        <x:v>927.4333333333333</x:v>
      </x:c>
      <x:c r="AE21" s="5" t="n">
        <x:v>947.9666666666667</x:v>
      </x:c>
      <x:c r="AF21" s="5" t="n">
        <x:v>856.9666666666667</x:v>
      </x:c>
      <x:c r="AG21" s="5" t="n">
        <x:v>1085.233333333333</x:v>
      </x:c>
      <x:c r="AH21" s="5" t="n">
        <x:v>1153.266666666667</x:v>
      </x:c>
      <x:c r="AI21" s="5" t="n">
        <x:v>1164.966666666667</x:v>
      </x:c>
      <x:c r="AJ21" s="5" t="n">
        <x:v>1248.6</x:v>
      </x:c>
      <x:c r="AK21" s="5" t="n">
        <x:v>1514.733333333333</x:v>
      </x:c>
      <x:c r="AL21" s="5" t="n">
        <x:v>1726.066666666667</x:v>
      </x:c>
      <x:c r="AM21" s="5" t="n">
        <x:v>1696.133333333333</x:v>
      </x:c>
      <x:c r="AN21" s="5" t="n">
        <x:v>1515.4</x:v>
      </x:c>
      <x:c r="AO21" s="5" t="n">
        <x:v>640.9333333333333</x:v>
      </x:c>
      <x:c r="AP21" s="5" t="n">
        <x:v>682.3</x:v>
      </x:c>
      <x:c r="AQ21" s="5" t="n">
        <x:v>152.1666666666667</x:v>
      </x:c>
      <x:c r="AR21" s="5" t="n">
        <x:v>36.1</x:v>
      </x:c>
      <x:c r="AS21" s="5" t="n">
        <x:v>1.966666666666667</x:v>
      </x:c>
      <x:c r="AT21" s="5" t="n">
        <x:v>1.933333333333333</x:v>
      </x:c>
      <x:c r="AU21" s="5" t="n">
        <x:v>0.4229466367515727</x:v>
      </x:c>
      <x:c r="AV21" s="5" t="n">
        <x:v>0.4502441599577668</x:v>
      </x:c>
      <x:c r="AW21" s="5" t="n">
        <x:v>0.1004135321807224</x:v>
      </x:c>
      <x:c r="AX21" s="5" t="n">
        <x:v>0.02382209317671902</x:v>
      </x:c>
      <x:c r="AY21" s="5" t="n">
        <x:v>0.001297787162905283</x:v>
      </x:c>
      <x:c r="AZ21" s="5" t="n">
        <x:v>0.001275790770313668</x:v>
      </x:c>
      <x:c r="BA21" s="5" t="n">
        <x:v>268.5</x:v>
      </x:c>
      <x:c r="BB21" s="5" t="n">
        <x:v>347.1</x:v>
      </x:c>
      <x:c r="BC21" s="5" t="n">
        <x:v>722.6666666666666</x:v>
      </x:c>
      <x:c r="BD21" s="5" t="n">
        <x:v>147.4666666666667</x:v>
      </x:c>
      <x:c r="BE21" s="5" t="n">
        <x:v>0.5333333333333333</x:v>
      </x:c>
      <x:c r="BF21" s="5" t="n">
        <x:v>29.13333333333333</x:v>
      </x:c>
      <x:c r="BG21" s="5" t="n">
        <x:v>0.1771809423254586</x:v>
      </x:c>
      <x:c r="BH21" s="5" t="n">
        <x:v>0.2290484360564867</x:v>
      </x:c>
      <x:c r="BI21" s="5" t="n">
        <x:v>0.4768817913862126</x:v>
      </x:c>
      <x:c r="BJ21" s="5" t="n">
        <x:v>0.09731204082530465</x:v>
      </x:c>
      <x:c r="BK21" s="5" t="n">
        <x:v>0.0003519422814658396</x:v>
      </x:c>
      <x:c r="BL21" s="5" t="n">
        <x:v>0.01922484712507149</x:v>
      </x:c>
      <x:c r="BM21" s="3" t="n">
        <x:v>202309</x:v>
      </x:c>
      <x:c r="BN21" s="3" t="n">
        <x:v>28</x:v>
      </x:c>
      <x:c r="BO21" s="3" t="n">
        <x:v>0</x:v>
      </x:c>
      <x:c r="BP21" s="3" t="n">
        <x:v>27</x:v>
      </x:c>
      <x:c r="BQ21" s="5" t="n">
        <x:v>856.3885878489326</x:v>
      </x:c>
      <x:c r="BR21" s="5" t="n">
        <x:v>58.15313811348295</x:v>
      </x:c>
      <x:c r="BS21" s="5" t="n">
        <x:v>0.06790508297121446</x:v>
      </x:c>
      <x:c r="BT21" s="5" t="n">
        <x:v>6.790508297121447</x:v>
      </x:c>
      <x:c r="BU21" s="5" t="n">
        <x:v>856.3885878489326</x:v>
      </x:c>
      <x:c r="BV21" s="5" t="n">
        <x:v>856.3885878489326</x:v>
      </x:c>
      <x:c r="BW21" s="5" t="n">
        <x:v>2426.523316912972</x:v>
      </x:c>
      <x:c r="BX21" s="5" t="n">
        <x:v>0.8529391307063577</x:v>
      </x:c>
    </x:row>
    <x:row r="22">
      <x:c r="A22" s="3" t="n">
        <x:v>10000839</x:v>
      </x:c>
      <x:c r="B22" s="6" t="n">
        <x:v>45197</x:v>
      </x:c>
      <x:c r="C22" s="5" t="n">
        <x:v>45540.4999999999</x:v>
      </x:c>
      <x:c r="D22" s="5" t="n">
        <x:v>26171.1999999999</x:v>
      </x:c>
      <x:c r="E22" s="5" t="n">
        <x:v>16975.5</x:v>
      </x:c>
      <x:c r="F22" s="5" t="n">
        <x:v>2393.8</x:v>
      </x:c>
      <x:c r="G22" s="3" t="n"/>
      <x:c r="H22" s="3" t="n"/>
      <x:c r="I22" s="3" t="n">
        <x:v>203847</x:v>
      </x:c>
      <x:c r="J22" s="5" t="n">
        <x:v>0.003625267970585782</x:v>
      </x:c>
      <x:c r="K22" s="5" t="n">
        <x:v>0.03294627833620313</x:v>
      </x:c>
      <x:c r="L22" s="5" t="n">
        <x:v>0.1335118986298547</x:v>
      </x:c>
      <x:c r="M22" s="5" t="n">
        <x:v>0.44214042885105</x:v>
      </x:c>
      <x:c r="N22" s="5" t="n">
        <x:v>0.2977478206694236</x:v>
      </x:c>
      <x:c r="O22" s="5" t="n">
        <x:v>0.09002830554288266</x:v>
      </x:c>
      <x:c r="P22" s="3" t="n">
        <x:v>53</x:v>
      </x:c>
      <x:c r="Q22" s="3" t="n">
        <x:v>6</x:v>
      </x:c>
      <x:c r="R22" s="3" t="n">
        <x:v>1</x:v>
      </x:c>
      <x:c r="S22" s="3" t="n">
        <x:v>30</x:v>
      </x:c>
      <x:c r="T22" s="3" t="n">
        <x:v>9</x:v>
      </x:c>
      <x:c r="U22" s="3" t="n">
        <x:v>6</x:v>
      </x:c>
      <x:c r="V22" s="3" t="n">
        <x:v>1</x:v>
      </x:c>
      <x:c r="W22" s="3" t="n">
        <x:v>0</x:v>
      </x:c>
      <x:c r="X22" s="3" t="n">
        <x:v>1</x:v>
      </x:c>
      <x:c r="Y22" s="3" t="n">
        <x:v>0</x:v>
      </x:c>
      <x:c r="Z22" s="3" t="n">
        <x:v>202309</x:v>
      </x:c>
      <x:c r="AA22" s="5" t="n">
        <x:v>1922.666666666667</x:v>
      </x:c>
      <x:c r="AB22" s="5" t="n">
        <x:v>1802.4</x:v>
      </x:c>
      <x:c r="AC22" s="5" t="n">
        <x:v>1173.6</x:v>
      </x:c>
      <x:c r="AD22" s="5" t="n">
        <x:v>1381.3</x:v>
      </x:c>
      <x:c r="AE22" s="5" t="n">
        <x:v>1129.6</x:v>
      </x:c>
      <x:c r="AF22" s="3" t="n">
        <x:v>1012</x:v>
      </x:c>
      <x:c r="AG22" s="5" t="n">
        <x:v>1443.233333333333</x:v>
      </x:c>
      <x:c r="AH22" s="5" t="n">
        <x:v>1769.266666666667</x:v>
      </x:c>
      <x:c r="AI22" s="5" t="n">
        <x:v>1777.433333333333</x:v>
      </x:c>
      <x:c r="AJ22" s="5" t="n">
        <x:v>1824.766666666667</x:v>
      </x:c>
      <x:c r="AK22" s="5" t="n">
        <x:v>2011.933333333333</x:v>
      </x:c>
      <x:c r="AL22" s="5" t="n">
        <x:v>2236.433333333333</x:v>
      </x:c>
      <x:c r="AM22" s="5" t="n">
        <x:v>2163.633333333333</x:v>
      </x:c>
      <x:c r="AN22" s="5" t="n">
        <x:v>1922.666666666667</x:v>
      </x:c>
      <x:c r="AO22" s="5" t="n">
        <x:v>1032.666666666667</x:v>
      </x:c>
      <x:c r="AP22" s="5" t="n">
        <x:v>736.7</x:v>
      </x:c>
      <x:c r="AQ22" s="5" t="n">
        <x:v>123.9</x:v>
      </x:c>
      <x:c r="AR22" s="5" t="n">
        <x:v>23.86666666666667</x:v>
      </x:c>
      <x:c r="AS22" s="5" t="n">
        <x:v>3.233333333333333</x:v>
      </x:c>
      <x:c r="AT22" s="5" t="n">
        <x:v>2.3</x:v>
      </x:c>
      <x:c r="AU22" s="5" t="n">
        <x:v>0.5371012482662968</x:v>
      </x:c>
      <x:c r="AV22" s="5" t="n">
        <x:v>0.3831657420249653</x:v>
      </x:c>
      <x:c r="AW22" s="5" t="n">
        <x:v>0.06444174757281554</x:v>
      </x:c>
      <x:c r="AX22" s="5" t="n">
        <x:v>0.01241331484049931</x:v>
      </x:c>
      <x:c r="AY22" s="5" t="n">
        <x:v>0.001681692094313454</x:v>
      </x:c>
      <x:c r="AZ22" s="5" t="n">
        <x:v>0.00119625520110957</x:v>
      </x:c>
      <x:c r="BA22" s="5" t="n">
        <x:v>849.9</x:v>
      </x:c>
      <x:c r="BB22" s="5" t="n">
        <x:v>549.3</x:v>
      </x:c>
      <x:c r="BC22" s="5" t="n">
        <x:v>428.1</x:v>
      </x:c>
      <x:c r="BD22" s="5" t="n">
        <x:v>73.2</x:v>
      </x:c>
      <x:c r="BE22" s="3" t="n">
        <x:v>0</x:v>
      </x:c>
      <x:c r="BF22" s="5" t="n">
        <x:v>22.16666666666667</x:v>
      </x:c>
      <x:c r="BG22" s="5" t="n">
        <x:v>0.4420423023578363</x:v>
      </x:c>
      <x:c r="BH22" s="5" t="n">
        <x:v>0.2856969486823855</x:v>
      </x:c>
      <x:c r="BI22" s="5" t="n">
        <x:v>0.2226595006934813</x:v>
      </x:c>
      <x:c r="BJ22" s="5" t="n">
        <x:v>0.03807212205270458</x:v>
      </x:c>
      <x:c r="BK22" s="3" t="n">
        <x:v>0</x:v>
      </x:c>
      <x:c r="BL22" s="5" t="n">
        <x:v>0.01152912621359223</x:v>
      </x:c>
      <x:c r="BM22" s="3" t="n">
        <x:v>202309</x:v>
      </x:c>
      <x:c r="BN22" s="3" t="n">
        <x:v>28</x:v>
      </x:c>
      <x:c r="BO22" s="3" t="n">
        <x:v>0</x:v>
      </x:c>
      <x:c r="BP22" s="3" t="n">
        <x:v>27</x:v>
      </x:c>
      <x:c r="BQ22" s="5" t="n">
        <x:v>1417.841954022989</x:v>
      </x:c>
      <x:c r="BR22" s="5" t="n">
        <x:v>35.66602809706259</x:v>
      </x:c>
      <x:c r="BS22" s="5" t="n">
        <x:v>0.02515515075277869</x:v>
      </x:c>
      <x:c r="BT22" s="5" t="n">
        <x:v>2.515515075277869</x:v>
      </x:c>
      <x:c r="BU22" s="5" t="n">
        <x:v>1417.841954022989</x:v>
      </x:c>
      <x:c r="BV22" s="5" t="n">
        <x:v>1417.841954022989</x:v>
      </x:c>
      <x:c r="BW22" s="5" t="n">
        <x:v>2380.824712643679</x:v>
      </x:c>
      <x:c r="BX22" s="5" t="n">
        <x:v>0.58693150696847</x:v>
      </x:c>
    </x:row>
    <x:row r="23">
      <x:c r="A23" s="3" t="n">
        <x:v>10000843</x:v>
      </x:c>
      <x:c r="B23" s="6" t="n">
        <x:v>45197</x:v>
      </x:c>
      <x:c r="C23" s="5" t="n">
        <x:v>43239.8</x:v>
      </x:c>
      <x:c r="D23" s="5" t="n">
        <x:v>16947.1</x:v>
      </x:c>
      <x:c r="E23" s="5" t="n">
        <x:v>15395.3</x:v>
      </x:c>
      <x:c r="F23" s="5" t="n">
        <x:v>10897.4</x:v>
      </x:c>
      <x:c r="G23" s="3" t="n"/>
      <x:c r="H23" s="3" t="n"/>
      <x:c r="I23" s="3" t="n">
        <x:v>151102</x:v>
      </x:c>
      <x:c r="J23" s="5" t="n">
        <x:v>0.01316329366917711</x:v>
      </x:c>
      <x:c r="K23" s="5" t="n">
        <x:v>0.1049688290029252</x:v>
      </x:c>
      <x:c r="L23" s="5" t="n">
        <x:v>0.2748474540376699</x:v>
      </x:c>
      <x:c r="M23" s="5" t="n">
        <x:v>0.4226946036452198</x:v>
      </x:c>
      <x:c r="N23" s="5" t="n">
        <x:v>0.1187674550965573</x:v>
      </x:c>
      <x:c r="O23" s="5" t="n">
        <x:v>0.06555836454845071</x:v>
      </x:c>
      <x:c r="P23" s="3" t="n">
        <x:v>24</x:v>
      </x:c>
      <x:c r="Q23" s="3" t="n">
        <x:v>4</x:v>
      </x:c>
      <x:c r="R23" s="3" t="n">
        <x:v>0</x:v>
      </x:c>
      <x:c r="S23" s="3" t="n">
        <x:v>8</x:v>
      </x:c>
      <x:c r="T23" s="3" t="n">
        <x:v>3</x:v>
      </x:c>
      <x:c r="U23" s="3" t="n">
        <x:v>4</x:v>
      </x:c>
      <x:c r="V23" s="3" t="n">
        <x:v>5</x:v>
      </x:c>
      <x:c r="W23" s="3" t="n">
        <x:v>0</x:v>
      </x:c>
      <x:c r="X23" s="3" t="n">
        <x:v>2</x:v>
      </x:c>
      <x:c r="Y23" s="3" t="n">
        <x:v>0</x:v>
      </x:c>
      <x:c r="Z23" s="3" t="n">
        <x:v>202309</x:v>
      </x:c>
      <x:c r="AA23" s="5" t="n">
        <x:v>1358.766666666667</x:v>
      </x:c>
      <x:c r="AB23" s="5" t="n">
        <x:v>1392.3</x:v>
      </x:c>
      <x:c r="AC23" s="5" t="n">
        <x:v>944.4666666666667</x:v>
      </x:c>
      <x:c r="AD23" s="5" t="n">
        <x:v>922.0666666666667</x:v>
      </x:c>
      <x:c r="AE23" s="5" t="n">
        <x:v>882.1333333333333</x:v>
      </x:c>
      <x:c r="AF23" s="5" t="n">
        <x:v>831.1333333333333</x:v>
      </x:c>
      <x:c r="AG23" s="5" t="n">
        <x:v>1018.7</x:v>
      </x:c>
      <x:c r="AH23" s="5" t="n">
        <x:v>1278.233333333333</x:v>
      </x:c>
      <x:c r="AI23" s="5" t="n">
        <x:v>1114.1</x:v>
      </x:c>
      <x:c r="AJ23" s="5" t="n">
        <x:v>1217.166666666667</x:v>
      </x:c>
      <x:c r="AK23" s="5" t="n">
        <x:v>1466.566666666667</x:v>
      </x:c>
      <x:c r="AL23" s="5" t="n">
        <x:v>1609.466666666667</x:v>
      </x:c>
      <x:c r="AM23" s="5" t="n">
        <x:v>1582.933333333333</x:v>
      </x:c>
      <x:c r="AN23" s="5" t="n">
        <x:v>1358.766666666667</x:v>
      </x:c>
      <x:c r="AO23" s="5" t="n">
        <x:v>388.2666666666667</x:v>
      </x:c>
      <x:c r="AP23" s="5" t="n">
        <x:v>687.2</x:v>
      </x:c>
      <x:c r="AQ23" s="5" t="n">
        <x:v>222.0666666666667</x:v>
      </x:c>
      <x:c r="AR23" s="5" t="n">
        <x:v>54.6</x:v>
      </x:c>
      <x:c r="AS23" s="5" t="n">
        <x:v>4.4</x:v>
      </x:c>
      <x:c r="AT23" s="5" t="n">
        <x:v>2.233333333333333</x:v>
      </x:c>
      <x:c r="AU23" s="5" t="n">
        <x:v>0.2857493315016069</x:v>
      </x:c>
      <x:c r="AV23" s="5" t="n">
        <x:v>0.5057527659887644</x:v>
      </x:c>
      <x:c r="AW23" s="5" t="n">
        <x:v>0.1634325245933813</x:v>
      </x:c>
      <x:c r="AX23" s="5" t="n">
        <x:v>0.04018349974241346</x:v>
      </x:c>
      <x:c r="AY23" s="5" t="n">
        <x:v>0.00323823074847288</x:v>
      </x:c>
      <x:c r="AZ23" s="5" t="n">
        <x:v>0.001643647425361235</x:v>
      </x:c>
      <x:c r="BA23" s="5" t="n">
        <x:v>370.1666666666667</x:v>
      </x:c>
      <x:c r="BB23" s="5" t="n">
        <x:v>171.5</x:v>
      </x:c>
      <x:c r="BC23" s="5" t="n">
        <x:v>384.4333333333333</x:v>
      </x:c>
      <x:c r="BD23" s="5" t="n">
        <x:v>395.4666666666666</x:v>
      </x:c>
      <x:c r="BE23" s="5" t="n">
        <x:v>15.36666666666667</x:v>
      </x:c>
      <x:c r="BF23" s="5" t="n">
        <x:v>21.83333333333333</x:v>
      </x:c>
      <x:c r="BG23" s="5" t="n">
        <x:v>0.2724284277408434</x:v>
      </x:c>
      <x:c r="BH23" s="5" t="n">
        <x:v>0.1262174030370679</x:v>
      </x:c>
      <x:c r="BI23" s="5" t="n">
        <x:v>0.2829281456222555</x:v>
      </x:c>
      <x:c r="BJ23" s="5" t="n">
        <x:v>0.2910482545445625</x:v>
      </x:c>
      <x:c r="BK23" s="5" t="n">
        <x:v>0.01130927556853029</x:v>
      </x:c>
      <x:c r="BL23" s="5" t="n">
        <x:v>0.01606849348674043</x:v>
      </x:c>
      <x:c r="BM23" s="3" t="n">
        <x:v>202309</x:v>
      </x:c>
      <x:c r="BN23" s="3" t="n">
        <x:v>28</x:v>
      </x:c>
      <x:c r="BO23" s="3" t="n">
        <x:v>0</x:v>
      </x:c>
      <x:c r="BP23" s="3" t="n">
        <x:v>27</x:v>
      </x:c>
      <x:c r="BQ23" s="5" t="n">
        <x:v>967.711412151067</x:v>
      </x:c>
      <x:c r="BR23" s="5" t="n">
        <x:v>35.94368728334246</x:v>
      </x:c>
      <x:c r="BS23" s="5" t="n">
        <x:v>0.03714298171129905</x:v>
      </x:c>
      <x:c r="BT23" s="5" t="n">
        <x:v>3.714298171129905</x:v>
      </x:c>
      <x:c r="BU23" s="5" t="n">
        <x:v>967.711412151067</x:v>
      </x:c>
      <x:c r="BV23" s="5" t="n">
        <x:v>967.711412151067</x:v>
      </x:c>
      <x:c r="BW23" s="5" t="n">
        <x:v>1938.190968801313</x:v>
      </x:c>
      <x:c r="BX23" s="5" t="n">
        <x:v>0.6821324079728762</x:v>
      </x:c>
    </x:row>
    <x:row r="24">
      <x:c r="A24" s="3" t="n">
        <x:v>10000849</x:v>
      </x:c>
      <x:c r="B24" s="6" t="n">
        <x:v>45197</x:v>
      </x:c>
      <x:c r="C24" s="5" t="n">
        <x:v>57732.6999999999</x:v>
      </x:c>
      <x:c r="D24" s="5" t="n">
        <x:v>26922.1999999999</x:v>
      </x:c>
      <x:c r="E24" s="5" t="n">
        <x:v>21488.5</x:v>
      </x:c>
      <x:c r="F24" s="3" t="n">
        <x:v>8020</x:v>
      </x:c>
      <x:c r="G24" s="3" t="n">
        <x:v>1302</x:v>
      </x:c>
      <x:c r="H24" s="3" t="n"/>
      <x:c r="I24" s="3" t="n">
        <x:v>136719</x:v>
      </x:c>
      <x:c r="J24" s="5" t="n">
        <x:v>0.005383304441957592</x:v>
      </x:c>
      <x:c r="K24" s="5" t="n">
        <x:v>0.04252517938252913</x:v>
      </x:c>
      <x:c r="L24" s="5" t="n">
        <x:v>0.1548358311573373</x:v>
      </x:c>
      <x:c r="M24" s="5" t="n">
        <x:v>0.4806208354361866</x:v>
      </x:c>
      <x:c r="N24" s="5" t="n">
        <x:v>0.2510623980573293</x:v>
      </x:c>
      <x:c r="O24" s="5" t="n">
        <x:v>0.06557245152466007</x:v>
      </x:c>
      <x:c r="P24" s="3" t="n">
        <x:v>28</x:v>
      </x:c>
      <x:c r="Q24" s="3" t="n">
        <x:v>3</x:v>
      </x:c>
      <x:c r="R24" s="3" t="n">
        <x:v>2</x:v>
      </x:c>
      <x:c r="S24" s="3" t="n">
        <x:v>13</x:v>
      </x:c>
      <x:c r="T24" s="3" t="n">
        <x:v>4</x:v>
      </x:c>
      <x:c r="U24" s="3" t="n">
        <x:v>1</x:v>
      </x:c>
      <x:c r="V24" s="3" t="n">
        <x:v>5</x:v>
      </x:c>
      <x:c r="W24" s="3" t="n">
        <x:v>1</x:v>
      </x:c>
      <x:c r="X24" s="3" t="n">
        <x:v>1</x:v>
      </x:c>
      <x:c r="Y24" s="3" t="n">
        <x:v>0</x:v>
      </x:c>
      <x:c r="Z24" s="3" t="n">
        <x:v>202309</x:v>
      </x:c>
      <x:c r="AA24" s="5" t="n">
        <x:v>2225.633333333333</x:v>
      </x:c>
      <x:c r="AB24" s="5" t="n">
        <x:v>2124.866666666667</x:v>
      </x:c>
      <x:c r="AC24" s="5" t="n">
        <x:v>1539.366666666667</x:v>
      </x:c>
      <x:c r="AD24" s="5" t="n">
        <x:v>1594.333333333333</x:v>
      </x:c>
      <x:c r="AE24" s="5" t="n">
        <x:v>1510.6</x:v>
      </x:c>
      <x:c r="AF24" s="5" t="n">
        <x:v>1402.433333333333</x:v>
      </x:c>
      <x:c r="AG24" s="3" t="n">
        <x:v>1712</x:v>
      </x:c>
      <x:c r="AH24" s="5" t="n">
        <x:v>1881.2</x:v>
      </x:c>
      <x:c r="AI24" s="5" t="n">
        <x:v>1911.166666666667</x:v>
      </x:c>
      <x:c r="AJ24" s="5" t="n">
        <x:v>2104.066666666667</x:v>
      </x:c>
      <x:c r="AK24" s="5" t="n">
        <x:v>2438.8</x:v>
      </x:c>
      <x:c r="AL24" s="5" t="n">
        <x:v>2677.7</x:v>
      </x:c>
      <x:c r="AM24" s="5" t="n">
        <x:v>2604.066666666667</x:v>
      </x:c>
      <x:c r="AN24" s="5" t="n">
        <x:v>2225.633333333333</x:v>
      </x:c>
      <x:c r="AO24" s="5" t="n">
        <x:v>918.4666666666667</x:v>
      </x:c>
      <x:c r="AP24" s="5" t="n">
        <x:v>1036.366666666667</x:v>
      </x:c>
      <x:c r="AQ24" s="5" t="n">
        <x:v>221.6666666666667</x:v>
      </x:c>
      <x:c r="AR24" s="5" t="n">
        <x:v>43.2</x:v>
      </x:c>
      <x:c r="AS24" s="5" t="n">
        <x:v>3.133333333333333</x:v>
      </x:c>
      <x:c r="AT24" s="5" t="n">
        <x:v>2.8</x:v>
      </x:c>
      <x:c r="AU24" s="5" t="n">
        <x:v>0.4126765415087841</x:v>
      </x:c>
      <x:c r="AV24" s="5" t="n">
        <x:v>0.4656502269017059</x:v>
      </x:c>
      <x:c r="AW24" s="5" t="n">
        <x:v>0.09959711842322036</x:v>
      </x:c>
      <x:c r="AX24" s="5" t="n">
        <x:v>0.01941020533481107</x:v>
      </x:c>
      <x:c r="AY24" s="5" t="n">
        <x:v>0.00140783896718537</x:v>
      </x:c>
      <x:c r="AZ24" s="5" t="n">
        <x:v>0.00125806886429331</x:v>
      </x:c>
      <x:c r="BA24" s="5" t="n">
        <x:v>1028.1</x:v>
      </x:c>
      <x:c r="BB24" s="3" t="n">
        <x:v>529</x:v>
      </x:c>
      <x:c r="BC24" s="5" t="n">
        <x:v>446.8</x:v>
      </x:c>
      <x:c r="BD24" s="5" t="n">
        <x:v>171.3666666666667</x:v>
      </x:c>
      <x:c r="BE24" s="5" t="n">
        <x:v>27.16666666666667</x:v>
      </x:c>
      <x:c r="BF24" s="5" t="n">
        <x:v>23.2</x:v>
      </x:c>
      <x:c r="BG24" s="5" t="n">
        <x:v>0.4619359283499828</x:v>
      </x:c>
      <x:c r="BH24" s="5" t="n">
        <x:v>0.2376851532897003</x:v>
      </x:c>
      <x:c r="BI24" s="5" t="n">
        <x:v>0.2007518459165182</x:v>
      </x:c>
      <x:c r="BJ24" s="5" t="n">
        <x:v>0.0769968098968084</x:v>
      </x:c>
      <x:c r="BK24" s="5" t="n">
        <x:v>0.01220626338570295</x:v>
      </x:c>
      <x:c r="BL24" s="5" t="n">
        <x:v>0.01042399916128742</x:v>
      </x:c>
      <x:c r="BM24" s="3" t="n">
        <x:v>202309</x:v>
      </x:c>
      <x:c r="BN24" s="3" t="n">
        <x:v>28</x:v>
      </x:c>
      <x:c r="BO24" s="3" t="n">
        <x:v>0</x:v>
      </x:c>
      <x:c r="BP24" s="3" t="n">
        <x:v>27</x:v>
      </x:c>
      <x:c r="BQ24" s="5" t="n">
        <x:v>1687.910426929392</x:v>
      </x:c>
      <x:c r="BR24" s="5" t="n">
        <x:v>39.85831052727607</x:v>
      </x:c>
      <x:c r="BS24" s="5" t="n">
        <x:v>0.02361399627099016</x:v>
      </x:c>
      <x:c r="BT24" s="5" t="n">
        <x:v>2.361399627099016</x:v>
      </x:c>
      <x:c r="BU24" s="5" t="n">
        <x:v>1687.910426929392</x:v>
      </x:c>
      <x:c r="BV24" s="5" t="n">
        <x:v>1687.910426929392</x:v>
      </x:c>
      <x:c r="BW24" s="5" t="n">
        <x:v>2764.084811165845</x:v>
      </x:c>
      <x:c r="BX24" s="5" t="n">
        <x:v>0.5247749651028938</x:v>
      </x:c>
    </x:row>
    <x:row r="25">
      <x:c r="A25" s="3" t="n">
        <x:v>10000861</x:v>
      </x:c>
      <x:c r="B25" s="6" t="n">
        <x:v>45221</x:v>
      </x:c>
      <x:c r="C25" s="3" t="n">
        <x:v>63907</x:v>
      </x:c>
      <x:c r="D25" s="5" t="n">
        <x:v>36421.5</x:v>
      </x:c>
      <x:c r="E25" s="3" t="n">
        <x:v>15309</x:v>
      </x:c>
      <x:c r="F25" s="5" t="n">
        <x:v>12176.5</x:v>
      </x:c>
      <x:c r="G25" s="3" t="n"/>
      <x:c r="H25" s="3" t="n"/>
      <x:c r="I25" s="3" t="n">
        <x:v>218130</x:v>
      </x:c>
      <x:c r="J25" s="5" t="n">
        <x:v>0.003053225140970981</x:v>
      </x:c>
      <x:c r="K25" s="5" t="n">
        <x:v>0.02507220464860404</x:v>
      </x:c>
      <x:c r="L25" s="5" t="n">
        <x:v>0.1069866593315913</x:v>
      </x:c>
      <x:c r="M25" s="5" t="n">
        <x:v>0.4400678494475772</x:v>
      </x:c>
      <x:c r="N25" s="5" t="n">
        <x:v>0.3571769128501353</x:v>
      </x:c>
      <x:c r="O25" s="5" t="n">
        <x:v>0.06764314858112135</x:v>
      </x:c>
      <x:c r="P25" s="3" t="n">
        <x:v>51</x:v>
      </x:c>
      <x:c r="Q25" s="3" t="n">
        <x:v>5</x:v>
      </x:c>
      <x:c r="R25" s="3" t="n">
        <x:v>1</x:v>
      </x:c>
      <x:c r="S25" s="3" t="n">
        <x:v>33</x:v>
      </x:c>
      <x:c r="T25" s="3" t="n">
        <x:v>2</x:v>
      </x:c>
      <x:c r="U25" s="3" t="n">
        <x:v>3</x:v>
      </x:c>
      <x:c r="V25" s="3" t="n">
        <x:v>7</x:v>
      </x:c>
      <x:c r="W25" s="3" t="n">
        <x:v>0</x:v>
      </x:c>
      <x:c r="X25" s="3" t="n">
        <x:v>2</x:v>
      </x:c>
      <x:c r="Y25" s="3" t="n">
        <x:v>0</x:v>
      </x:c>
      <x:c r="Z25" s="3" t="n">
        <x:v>202310</x:v>
      </x:c>
      <x:c r="AA25" s="5" t="n">
        <x:v>2297.566666666667</x:v>
      </x:c>
      <x:c r="AB25" s="5" t="n">
        <x:v>2138.166666666667</x:v>
      </x:c>
      <x:c r="AC25" s="5" t="n">
        <x:v>1380.9</x:v>
      </x:c>
      <x:c r="AD25" s="5" t="n">
        <x:v>1385.233333333333</x:v>
      </x:c>
      <x:c r="AE25" s="5" t="n">
        <x:v>1189.566666666667</x:v>
      </x:c>
      <x:c r="AF25" s="5" t="n">
        <x:v>1500.533333333333</x:v>
      </x:c>
      <x:c r="AG25" s="5" t="n">
        <x:v>1745.466666666667</x:v>
      </x:c>
      <x:c r="AH25" s="5" t="n">
        <x:v>1763.333333333333</x:v>
      </x:c>
      <x:c r="AI25" s="5" t="n">
        <x:v>1915.666666666667</x:v>
      </x:c>
      <x:c r="AJ25" s="3" t="n">
        <x:v>2270</x:v>
      </x:c>
      <x:c r="AK25" s="5" t="n">
        <x:v>2555.466666666667</x:v>
      </x:c>
      <x:c r="AL25" s="3" t="n">
        <x:v>2629</x:v>
      </x:c>
      <x:c r="AM25" s="5" t="n">
        <x:v>2300.933333333333</x:v>
      </x:c>
      <x:c r="AN25" s="5" t="n">
        <x:v>2297.566666666667</x:v>
      </x:c>
      <x:c r="AO25" s="5" t="n">
        <x:v>1258.233333333333</x:v>
      </x:c>
      <x:c r="AP25" s="5" t="n">
        <x:v>880.8333333333334</x:v>
      </x:c>
      <x:c r="AQ25" s="5" t="n">
        <x:v>131.4333333333333</x:v>
      </x:c>
      <x:c r="AR25" s="3" t="n">
        <x:v>22</x:v>
      </x:c>
      <x:c r="AS25" s="5" t="n">
        <x:v>2.266666666666667</x:v>
      </x:c>
      <x:c r="AT25" s="5" t="n">
        <x:v>2.8</x:v>
      </x:c>
      <x:c r="AU25" s="5" t="n">
        <x:v>0.5476373554630262</x:v>
      </x:c>
      <x:c r="AV25" s="5" t="n">
        <x:v>0.3833766158399466</x:v>
      </x:c>
      <x:c r="AW25" s="5" t="n">
        <x:v>0.05720544924340244</x:v>
      </x:c>
      <x:c r="AX25" s="5" t="n">
        <x:v>0.009575347831764041</x:v>
      </x:c>
      <x:c r="AY25" s="5" t="n">
        <x:v>0.0009865509887272042</x:v>
      </x:c>
      <x:c r="AZ25" s="5" t="n">
        <x:v>0.001218680633133605</x:v>
      </x:c>
      <x:c r="BA25" s="5" t="n">
        <x:v>866.6666666666666</x:v>
      </x:c>
      <x:c r="BB25" s="5" t="n">
        <x:v>626.5666666666667</x:v>
      </x:c>
      <x:c r="BC25" s="5" t="n">
        <x:v>456.3</x:v>
      </x:c>
      <x:c r="BD25" s="5" t="n">
        <x:v>311.6</x:v>
      </x:c>
      <x:c r="BE25" s="5" t="n">
        <x:v>3.3</x:v>
      </x:c>
      <x:c r="BF25" s="5" t="n">
        <x:v>33.13333333333333</x:v>
      </x:c>
      <x:c r="BG25" s="5" t="n">
        <x:v>0.3772106721604016</x:v>
      </x:c>
      <x:c r="BH25" s="5" t="n">
        <x:v>0.272708807869195</x:v>
      </x:c>
      <x:c r="BI25" s="5" t="n">
        <x:v>0.1986014188924514</x:v>
      </x:c>
      <x:c r="BJ25" s="5" t="n">
        <x:v>0.1356217447444398</x:v>
      </x:c>
      <x:c r="BK25" s="5" t="n">
        <x:v>0.001436302174764606</x:v>
      </x:c>
      <x:c r="BL25" s="5" t="n">
        <x:v>0.01442105415874766</x:v>
      </x:c>
      <x:c r="BM25" s="3" t="n">
        <x:v>202310</x:v>
      </x:c>
      <x:c r="BN25" s="3" t="n">
        <x:v>27</x:v>
      </x:c>
      <x:c r="BO25" s="3" t="n">
        <x:v>0</x:v>
      </x:c>
      <x:c r="BP25" s="3" t="n">
        <x:v>26</x:v>
      </x:c>
      <x:c r="BQ25" s="5" t="n">
        <x:v>1489.126102292769</x:v>
      </x:c>
      <x:c r="BR25" s="5" t="n">
        <x:v>69.7525030525031</x:v>
      </x:c>
      <x:c r="BS25" s="5" t="n">
        <x:v>0.04684123322068357</x:v>
      </x:c>
      <x:c r="BT25" s="5" t="n">
        <x:v>4.684123322068357</x:v>
      </x:c>
      <x:c r="BU25" s="5" t="n">
        <x:v>1489.126102292769</x:v>
      </x:c>
      <x:c r="BV25" s="5" t="n">
        <x:v>1489.126102292769</x:v>
      </x:c>
      <x:c r="BW25" s="5" t="n">
        <x:v>3302.69118165785</x:v>
      </x:c>
      <x:c r="BX25" s="5" t="n">
        <x:v>0.7533238679458983</x:v>
      </x:c>
    </x:row>
    <x:row r="26">
      <x:c r="A26" s="3" t="n">
        <x:v>10000867</x:v>
      </x:c>
      <x:c r="B26" s="6" t="n">
        <x:v>45226</x:v>
      </x:c>
      <x:c r="C26" s="5" t="n">
        <x:v>46744.39999999999</x:v>
      </x:c>
      <x:c r="D26" s="5" t="n">
        <x:v>31643.6</x:v>
      </x:c>
      <x:c r="E26" s="5" t="n">
        <x:v>11886.8</x:v>
      </x:c>
      <x:c r="F26" s="3" t="n">
        <x:v>3214</x:v>
      </x:c>
      <x:c r="G26" s="3" t="n"/>
      <x:c r="H26" s="3" t="n"/>
      <x:c r="I26" s="3" t="n">
        <x:v>147740</x:v>
      </x:c>
      <x:c r="J26" s="5" t="n">
        <x:v>0.00450791931772032</x:v>
      </x:c>
      <x:c r="K26" s="5" t="n">
        <x:v>0.03796534452416407</x:v>
      </x:c>
      <x:c r="L26" s="5" t="n">
        <x:v>0.1371057262758901</x:v>
      </x:c>
      <x:c r="M26" s="5" t="n">
        <x:v>0.4391566265060241</x:v>
      </x:c>
      <x:c r="N26" s="5" t="n">
        <x:v>0.2912819818600244</x:v>
      </x:c>
      <x:c r="O26" s="5" t="n">
        <x:v>0.08998240151617706</x:v>
      </x:c>
      <x:c r="P26" s="3" t="n">
        <x:v>35</x:v>
      </x:c>
      <x:c r="Q26" s="3" t="n">
        <x:v>1</x:v>
      </x:c>
      <x:c r="R26" s="3" t="n">
        <x:v>0</x:v>
      </x:c>
      <x:c r="S26" s="3" t="n">
        <x:v>23</x:v>
      </x:c>
      <x:c r="T26" s="3" t="n">
        <x:v>4</x:v>
      </x:c>
      <x:c r="U26" s="3" t="n">
        <x:v>4</x:v>
      </x:c>
      <x:c r="V26" s="3" t="n">
        <x:v>3</x:v>
      </x:c>
      <x:c r="W26" s="3" t="n">
        <x:v>0</x:v>
      </x:c>
      <x:c r="X26" s="3" t="n">
        <x:v>0</x:v>
      </x:c>
      <x:c r="Y26" s="3" t="n">
        <x:v>0</x:v>
      </x:c>
      <x:c r="Z26" s="3" t="n">
        <x:v>202310</x:v>
      </x:c>
      <x:c r="AA26" s="5" t="n">
        <x:v>1332.3</x:v>
      </x:c>
      <x:c r="AB26" s="5" t="n">
        <x:v>1700.8</x:v>
      </x:c>
      <x:c r="AC26" s="5" t="n">
        <x:v>928.9333333333333</x:v>
      </x:c>
      <x:c r="AD26" s="5" t="n">
        <x:v>886.7</x:v>
      </x:c>
      <x:c r="AE26" s="5" t="n">
        <x:v>810.9333333333333</x:v>
      </x:c>
      <x:c r="AF26" s="5" t="n">
        <x:v>967.5333333333333</x:v>
      </x:c>
      <x:c r="AG26" s="5" t="n">
        <x:v>986.1666666666666</x:v>
      </x:c>
      <x:c r="AH26" s="5" t="n">
        <x:v>986.4666666666667</x:v>
      </x:c>
      <x:c r="AI26" s="5" t="n">
        <x:v>1145.2</x:v>
      </x:c>
      <x:c r="AJ26" s="5" t="n">
        <x:v>1393.866666666667</x:v>
      </x:c>
      <x:c r="AK26" s="5" t="n">
        <x:v>1510.133333333333</x:v>
      </x:c>
      <x:c r="AL26" s="3" t="n">
        <x:v>1464</x:v>
      </x:c>
      <x:c r="AM26" s="5" t="n">
        <x:v>1329.866666666667</x:v>
      </x:c>
      <x:c r="AN26" s="5" t="n">
        <x:v>1332.3</x:v>
      </x:c>
      <x:c r="AO26" s="5" t="n">
        <x:v>603.3666666666667</x:v>
      </x:c>
      <x:c r="AP26" s="3" t="n">
        <x:v>588</x:v>
      </x:c>
      <x:c r="AQ26" s="5" t="n">
        <x:v>115.1666666666667</x:v>
      </x:c>
      <x:c r="AR26" s="5" t="n">
        <x:v>19.66666666666667</x:v>
      </x:c>
      <x:c r="AS26" s="5" t="n">
        <x:v>1.8</x:v>
      </x:c>
      <x:c r="AT26" s="5" t="n">
        <x:v>4.3</x:v>
      </x:c>
      <x:c r="AU26" s="5" t="n">
        <x:v>0.4528759788836348</x:v>
      </x:c>
      <x:c r="AV26" s="5" t="n">
        <x:v>0.4413420400810628</x:v>
      </x:c>
      <x:c r="AW26" s="5" t="n">
        <x:v>0.08644199254422177</x:v>
      </x:c>
      <x:c r="AX26" s="5" t="n">
        <x:v>0.01476144011608997</x:v>
      </x:c>
      <x:c r="AY26" s="5" t="n">
        <x:v>0.001351047061472641</x:v>
      </x:c>
      <x:c r="AZ26" s="5" t="n">
        <x:v>0.003227501313517977</x:v>
      </x:c>
      <x:c r="BA26" s="5" t="n">
        <x:v>625.8</x:v>
      </x:c>
      <x:c r="BB26" s="5" t="n">
        <x:v>376.6666666666667</x:v>
      </x:c>
      <x:c r="BC26" s="5" t="n">
        <x:v>228.3</x:v>
      </x:c>
      <x:c r="BD26" s="5" t="n">
        <x:v>77.83333333333333</x:v>
      </x:c>
      <x:c r="BE26" s="3" t="n">
        <x:v>1</x:v>
      </x:c>
      <x:c r="BF26" s="5" t="n">
        <x:v>22.7</x:v>
      </x:c>
      <x:c r="BG26" s="5" t="n">
        <x:v>0.4697140283719883</x:v>
      </x:c>
      <x:c r="BH26" s="5" t="n">
        <x:v>0.2827191073081639</x:v>
      </x:c>
      <x:c r="BI26" s="5" t="n">
        <x:v>0.17135780229678</x:v>
      </x:c>
      <x:c r="BJ26" s="5" t="n">
        <x:v>0.0584202757136781</x:v>
      </x:c>
      <x:c r="BK26" s="5" t="n">
        <x:v>0.0007505817008181341</x:v>
      </x:c>
      <x:c r="BL26" s="5" t="n">
        <x:v>0.01703820460857164</x:v>
      </x:c>
      <x:c r="BM26" s="3" t="n">
        <x:v>202310</x:v>
      </x:c>
      <x:c r="BN26" s="3" t="n">
        <x:v>27</x:v>
      </x:c>
      <x:c r="BO26" s="3" t="n">
        <x:v>0</x:v>
      </x:c>
      <x:c r="BP26" s="3" t="n">
        <x:v>26</x:v>
      </x:c>
      <x:c r="BQ26" s="5" t="n">
        <x:v>967.0335097001761</x:v>
      </x:c>
      <x:c r="BR26" s="5" t="n">
        <x:v>36.89580789580791</x:v>
      </x:c>
      <x:c r="BS26" s="5" t="n">
        <x:v>0.03815359811807066</x:v>
      </x:c>
      <x:c r="BT26" s="5" t="n">
        <x:v>3.815359811807066</x:v>
      </x:c>
      <x:c r="BU26" s="5" t="n">
        <x:v>967.0335097001761</x:v>
      </x:c>
      <x:c r="BV26" s="5" t="n">
        <x:v>967.0335097001761</x:v>
      </x:c>
      <x:c r="BW26" s="5" t="n">
        <x:v>1926.324514991182</x:v>
      </x:c>
      <x:c r="BX26" s="5" t="n">
        <x:v>0.6097540122052698</x:v>
      </x:c>
    </x:row>
    <x:row r="27">
      <x:c r="A27" s="3" t="n">
        <x:v>10000868</x:v>
      </x:c>
      <x:c r="B27" s="6" t="n">
        <x:v>45240</x:v>
      </x:c>
      <x:c r="C27" s="5" t="n">
        <x:v>47778.6</x:v>
      </x:c>
      <x:c r="D27" s="5" t="n">
        <x:v>26378.3</x:v>
      </x:c>
      <x:c r="E27" s="5" t="n">
        <x:v>14741.2</x:v>
      </x:c>
      <x:c r="F27" s="5" t="n">
        <x:v>6659.1</x:v>
      </x:c>
      <x:c r="G27" s="3" t="n"/>
      <x:c r="H27" s="3" t="n"/>
      <x:c r="I27" s="3" t="n">
        <x:v>113580</x:v>
      </x:c>
      <x:c r="J27" s="5" t="n">
        <x:v>0.002702940658566649</x:v>
      </x:c>
      <x:c r="K27" s="5" t="n">
        <x:v>0.02729353759464695</x:v>
      </x:c>
      <x:c r="L27" s="5" t="n">
        <x:v>0.1257703821095263</x:v>
      </x:c>
      <x:c r="M27" s="5" t="n">
        <x:v>0.4809033280507132</x:v>
      </x:c>
      <x:c r="N27" s="5" t="n">
        <x:v>0.2869783412572636</x:v>
      </x:c>
      <x:c r="O27" s="5" t="n">
        <x:v>0.07635147032928333</x:v>
      </x:c>
      <x:c r="P27" s="3" t="n">
        <x:v>30</x:v>
      </x:c>
      <x:c r="Q27" s="3" t="n">
        <x:v>5</x:v>
      </x:c>
      <x:c r="R27" s="3" t="n">
        <x:v>2</x:v>
      </x:c>
      <x:c r="S27" s="3" t="n">
        <x:v>11</x:v>
      </x:c>
      <x:c r="T27" s="3" t="n">
        <x:v>4</x:v>
      </x:c>
      <x:c r="U27" s="3" t="n">
        <x:v>5</x:v>
      </x:c>
      <x:c r="V27" s="3" t="n">
        <x:v>3</x:v>
      </x:c>
      <x:c r="W27" s="3" t="n">
        <x:v>0</x:v>
      </x:c>
      <x:c r="X27" s="3" t="n">
        <x:v>3</x:v>
      </x:c>
      <x:c r="Y27" s="3" t="n">
        <x:v>0</x:v>
      </x:c>
      <x:c r="Z27" s="3" t="n">
        <x:v>202311</x:v>
      </x:c>
      <x:c r="AA27" s="5" t="n">
        <x:v>1252.5</x:v>
      </x:c>
      <x:c r="AB27" s="5" t="n">
        <x:v>1611.166666666667</x:v>
      </x:c>
      <x:c r="AC27" s="5" t="n">
        <x:v>905.4666666666667</x:v>
      </x:c>
      <x:c r="AD27" s="5" t="n">
        <x:v>852.9</x:v>
      </x:c>
      <x:c r="AE27" s="5" t="n">
        <x:v>900.7</x:v>
      </x:c>
      <x:c r="AF27" s="5" t="n">
        <x:v>1162.1</x:v>
      </x:c>
      <x:c r="AG27" s="5" t="n">
        <x:v>1183.766666666667</x:v>
      </x:c>
      <x:c r="AH27" s="5" t="n">
        <x:v>1178.533333333333</x:v>
      </x:c>
      <x:c r="AI27" s="5" t="n">
        <x:v>1294.8</x:v>
      </x:c>
      <x:c r="AJ27" s="5" t="n">
        <x:v>1501.766666666667</x:v>
      </x:c>
      <x:c r="AK27" s="5" t="n">
        <x:v>1434.1</x:v>
      </x:c>
      <x:c r="AL27" s="5" t="n">
        <x:v>1365.1</x:v>
      </x:c>
      <x:c r="AM27" s="5" t="n">
        <x:v>1323.533333333333</x:v>
      </x:c>
      <x:c r="AN27" s="5" t="n">
        <x:v>1252.5</x:v>
      </x:c>
      <x:c r="AO27" s="5" t="n">
        <x:v>571.4333333333333</x:v>
      </x:c>
      <x:c r="AP27" s="5" t="n">
        <x:v>571.6333333333333</x:v>
      </x:c>
      <x:c r="AQ27" s="5" t="n">
        <x:v>94.53333333333333</x:v>
      </x:c>
      <x:c r="AR27" s="5" t="n">
        <x:v>13.43333333333333</x:v>
      </x:c>
      <x:c r="AS27" s="5" t="n">
        <x:v>0.7333333333333333</x:v>
      </x:c>
      <x:c r="AT27" s="5" t="n">
        <x:v>0.7333333333333333</x:v>
      </x:c>
      <x:c r="AU27" s="5" t="n">
        <x:v>0.4562341982701263</x:v>
      </x:c>
      <x:c r="AV27" s="5" t="n">
        <x:v>0.456393878908849</x:v>
      </x:c>
      <x:c r="AW27" s="5" t="n">
        <x:v>0.07547571523619427</x:v>
      </x:c>
      <x:c r="AX27" s="5" t="n">
        <x:v>0.01072521623419827</x:v>
      </x:c>
      <x:c r="AY27" s="5" t="n">
        <x:v>0.0005854956753160345</x:v>
      </x:c>
      <x:c r="AZ27" s="5" t="n">
        <x:v>0.0005854956753160345</x:v>
      </x:c>
      <x:c r="BA27" s="5" t="n">
        <x:v>598.6333333333333</x:v>
      </x:c>
      <x:c r="BB27" s="5" t="n">
        <x:v>256.3</x:v>
      </x:c>
      <x:c r="BC27" s="5" t="n">
        <x:v>189.4333333333333</x:v>
      </x:c>
      <x:c r="BD27" s="5" t="n">
        <x:v>192.2666666666667</x:v>
      </x:c>
      <x:c r="BE27" s="5" t="n">
        <x:v>1.3</x:v>
      </x:c>
      <x:c r="BF27" s="5" t="n">
        <x:v>14.56666666666667</x:v>
      </x:c>
      <x:c r="BG27" s="5" t="n">
        <x:v>0.4779507651363939</x:v>
      </x:c>
      <x:c r="BH27" s="5" t="n">
        <x:v>0.2046307385229541</x:v>
      </x:c>
      <x:c r="BI27" s="5" t="n">
        <x:v>0.1512441783100466</x:v>
      </x:c>
      <x:c r="BJ27" s="5" t="n">
        <x:v>0.1535063206919494</x:v>
      </x:c>
      <x:c r="BK27" s="5" t="n">
        <x:v>0.001037924151696607</x:v>
      </x:c>
      <x:c r="BL27" s="5" t="n">
        <x:v>0.01163007318695941</x:v>
      </x:c>
      <x:c r="BM27" s="3" t="n">
        <x:v>202311</x:v>
      </x:c>
      <x:c r="BN27" s="3" t="n">
        <x:v>26</x:v>
      </x:c>
      <x:c r="BO27" s="3" t="n">
        <x:v>0</x:v>
      </x:c>
      <x:c r="BP27" s="3" t="n">
        <x:v>25</x:v>
      </x:c>
      <x:c r="BQ27" s="5" t="n">
        <x:v>1042.621652421653</x:v>
      </x:c>
      <x:c r="BR27" s="5" t="n">
        <x:v>29.38042165242166</x:v>
      </x:c>
      <x:c r="BS27" s="5" t="n">
        <x:v>0.02817937032496977</x:v>
      </x:c>
      <x:c r="BT27" s="5" t="n">
        <x:v>2.817937032496977</x:v>
      </x:c>
      <x:c r="BU27" s="5" t="n">
        <x:v>1042.621652421653</x:v>
      </x:c>
      <x:c r="BV27" s="5" t="n">
        <x:v>1042.621652421653</x:v>
      </x:c>
      <x:c r="BW27" s="5" t="n">
        <x:v>1777.132193732194</x:v>
      </x:c>
      <x:c r="BX27" s="5" t="n">
        <x:v>0.5609686788897381</x:v>
      </x:c>
    </x:row>
    <x:row r="28">
      <x:c r="A28" s="3" t="n">
        <x:v>10000869</x:v>
      </x:c>
      <x:c r="B28" s="6" t="n">
        <x:v>45348</x:v>
      </x:c>
      <x:c r="C28" s="5" t="n">
        <x:v>42015.1</x:v>
      </x:c>
      <x:c r="D28" s="5" t="n">
        <x:v>17951.8</x:v>
      </x:c>
      <x:c r="E28" s="5" t="n">
        <x:v>8251.299999999999</x:v>
      </x:c>
      <x:c r="F28" s="3" t="n">
        <x:v>14684</x:v>
      </x:c>
      <x:c r="G28" s="3" t="n">
        <x:v>1128</x:v>
      </x:c>
      <x:c r="H28" s="3" t="n"/>
      <x:c r="I28" s="3" t="n">
        <x:v>120458</x:v>
      </x:c>
      <x:c r="J28" s="5" t="n">
        <x:v>0.006566604127579738</x:v>
      </x:c>
      <x:c r="K28" s="5" t="n">
        <x:v>0.05717345464809311</x:v>
      </x:c>
      <x:c r="L28" s="5" t="n">
        <x:v>0.1843215062511415</x:v>
      </x:c>
      <x:c r="M28" s="5" t="n">
        <x:v>0.4493765461820717</x:v>
      </x:c>
      <x:c r="N28" s="5" t="n">
        <x:v>0.2328778495409188</x:v>
      </x:c>
      <x:c r="O28" s="5" t="n">
        <x:v>0.06968403925019509</x:v>
      </x:c>
      <x:c r="P28" s="3" t="n">
        <x:v>12</x:v>
      </x:c>
      <x:c r="Q28" s="3" t="n">
        <x:v>2</x:v>
      </x:c>
      <x:c r="R28" s="3" t="n">
        <x:v>0</x:v>
      </x:c>
      <x:c r="S28" s="3" t="n">
        <x:v>8</x:v>
      </x:c>
      <x:c r="T28" s="3" t="n">
        <x:v>2</x:v>
      </x:c>
      <x:c r="U28" s="3" t="n">
        <x:v>0</x:v>
      </x:c>
      <x:c r="V28" s="3" t="n">
        <x:v>0</x:v>
      </x:c>
      <x:c r="W28" s="3" t="n">
        <x:v>0</x:v>
      </x:c>
      <x:c r="X28" s="3" t="n">
        <x:v>1</x:v>
      </x:c>
      <x:c r="Y28" s="3" t="n">
        <x:v>0</x:v>
      </x:c>
      <x:c r="Z28" s="3" t="n">
        <x:v>202402</x:v>
      </x:c>
      <x:c r="AA28" s="5" t="n">
        <x:v>1540.166666666667</x:v>
      </x:c>
      <x:c r="AB28" s="5" t="n">
        <x:v>1428.866666666667</x:v>
      </x:c>
      <x:c r="AC28" s="5" t="n">
        <x:v>934.4666666666667</x:v>
      </x:c>
      <x:c r="AD28" s="5" t="n">
        <x:v>906.9333333333333</x:v>
      </x:c>
      <x:c r="AE28" s="5" t="n">
        <x:v>1029.733333333333</x:v>
      </x:c>
      <x:c r="AF28" s="5" t="n">
        <x:v>1346.133333333333</x:v>
      </x:c>
      <x:c r="AG28" s="5" t="n">
        <x:v>1501.066666666667</x:v>
      </x:c>
      <x:c r="AH28" s="5" t="n">
        <x:v>1622.866666666667</x:v>
      </x:c>
      <x:c r="AI28" s="5" t="n">
        <x:v>1338.133333333333</x:v>
      </x:c>
      <x:c r="AJ28" s="5" t="n">
        <x:v>1334.133333333333</x:v>
      </x:c>
      <x:c r="AK28" s="5" t="n">
        <x:v>1359.133333333333</x:v>
      </x:c>
      <x:c r="AL28" s="5" t="n">
        <x:v>1370.466666666667</x:v>
      </x:c>
      <x:c r="AM28" s="5" t="n">
        <x:v>1309.133333333333</x:v>
      </x:c>
      <x:c r="AN28" s="5" t="n">
        <x:v>1540.166666666667</x:v>
      </x:c>
      <x:c r="AO28" s="3" t="n">
        <x:v>624</x:v>
      </x:c>
      <x:c r="AP28" s="5" t="n">
        <x:v>714.6</x:v>
      </x:c>
      <x:c r="AQ28" s="5" t="n">
        <x:v>160.3</x:v>
      </x:c>
      <x:c r="AR28" s="5" t="n">
        <x:v>36.76666666666667</x:v>
      </x:c>
      <x:c r="AS28" s="5" t="n">
        <x:v>3.4</x:v>
      </x:c>
      <x:c r="AT28" s="5" t="n">
        <x:v>1.1</x:v>
      </x:c>
      <x:c r="AU28" s="5" t="n">
        <x:v>0.4051509576885618</x:v>
      </x:c>
      <x:c r="AV28" s="5" t="n">
        <x:v>0.4639757601991126</x:v>
      </x:c>
      <x:c r="AW28" s="5" t="n">
        <x:v>0.1040796450600584</x:v>
      </x:c>
      <x:c r="AX28" s="5" t="n">
        <x:v>0.02387187533816686</x:v>
      </x:c>
      <x:c r="AY28" s="5" t="n">
        <x:v>0.002207553295097933</x:v>
      </x:c>
      <x:c r="AZ28" s="5" t="n">
        <x:v>0.0007142084190022725</x:v>
      </x:c>
      <x:c r="BA28" s="5" t="n">
        <x:v>406.6</x:v>
      </x:c>
      <x:c r="BB28" s="5" t="n">
        <x:v>244.7333333333333</x:v>
      </x:c>
      <x:c r="BC28" s="5" t="n">
        <x:v>371.5666666666667</x:v>
      </x:c>
      <x:c r="BD28" s="5" t="n">
        <x:v>483.0333333333334</x:v>
      </x:c>
      <x:c r="BE28" s="5" t="n">
        <x:v>3.866666666666667</x:v>
      </x:c>
      <x:c r="BF28" s="5" t="n">
        <x:v>30.36666666666667</x:v>
      </x:c>
      <x:c r="BG28" s="5" t="n">
        <x:v>0.2639974028784763</x:v>
      </x:c>
      <x:c r="BH28" s="5" t="n">
        <x:v>0.1589005518883237</x:v>
      </x:c>
      <x:c r="BI28" s="5" t="n">
        <x:v>0.2412509468672221</x:v>
      </x:c>
      <x:c r="BJ28" s="5" t="n">
        <x:v>0.3136240666594524</x:v>
      </x:c>
      <x:c r="BK28" s="5" t="n">
        <x:v>0.002510550806189806</x:v>
      </x:c>
      <x:c r="BL28" s="5" t="n">
        <x:v>0.01971648090033546</x:v>
      </x:c>
      <x:c r="BM28" s="3" t="n">
        <x:v>202402</x:v>
      </x:c>
      <x:c r="BN28" s="3" t="n">
        <x:v>23</x:v>
      </x:c>
      <x:c r="BO28" s="3" t="n">
        <x:v>0</x:v>
      </x:c>
      <x:c r="BP28" s="3" t="n">
        <x:v>22</x:v>
      </x:c>
      <x:c r="BQ28" s="5" t="n">
        <x:v>1049.833333333334</x:v>
      </x:c>
      <x:c r="BR28" s="5" t="n">
        <x:v>51.37944664031617</x:v>
      </x:c>
      <x:c r="BS28" s="5" t="n">
        <x:v>0.04894057466929622</x:v>
      </x:c>
      <x:c r="BT28" s="5" t="n">
        <x:v>4.894057466929621</x:v>
      </x:c>
      <x:c r="BU28" s="5" t="n">
        <x:v>1049.833333333334</x:v>
      </x:c>
      <x:c r="BV28" s="5" t="n">
        <x:v>1049.833333333334</x:v>
      </x:c>
      <x:c r="BW28" s="5" t="n">
        <x:v>2180.18115942029</x:v>
      </x:c>
      <x:c r="BX28" s="5" t="n">
        <x:v>0.726469602946734</x:v>
      </x:c>
    </x:row>
    <x:row r="29">
      <x:c r="A29" s="3" t="n">
        <x:v>10000886</x:v>
      </x:c>
      <x:c r="B29" s="6" t="n">
        <x:v>45248</x:v>
      </x:c>
      <x:c r="C29" s="5" t="n">
        <x:v>35239.8</x:v>
      </x:c>
      <x:c r="D29" s="5" t="n">
        <x:v>19440.8</x:v>
      </x:c>
      <x:c r="E29" s="3" t="n">
        <x:v>10720</x:v>
      </x:c>
      <x:c r="F29" s="3" t="n">
        <x:v>5079</x:v>
      </x:c>
      <x:c r="G29" s="3" t="n"/>
      <x:c r="H29" s="3" t="n"/>
      <x:c r="I29" s="3" t="n">
        <x:v>241909</x:v>
      </x:c>
      <x:c r="J29" s="5" t="n">
        <x:v>0.006035327333832143</x:v>
      </x:c>
      <x:c r="K29" s="5" t="n">
        <x:v>0.05384669441814897</x:v>
      </x:c>
      <x:c r="L29" s="5" t="n">
        <x:v>0.1762852973638848</x:v>
      </x:c>
      <x:c r="M29" s="5" t="n">
        <x:v>0.4196164673492925</x:v>
      </x:c>
      <x:c r="N29" s="5" t="n">
        <x:v>0.1839079984622317</x:v>
      </x:c>
      <x:c r="O29" s="5" t="n">
        <x:v>0.1603082150726099</x:v>
      </x:c>
      <x:c r="P29" s="3" t="n">
        <x:v>83</x:v>
      </x:c>
      <x:c r="Q29" s="3" t="n">
        <x:v>2</x:v>
      </x:c>
      <x:c r="R29" s="3" t="n">
        <x:v>0</x:v>
      </x:c>
      <x:c r="S29" s="3" t="n">
        <x:v>61</x:v>
      </x:c>
      <x:c r="T29" s="3" t="n">
        <x:v>10</x:v>
      </x:c>
      <x:c r="U29" s="3" t="n">
        <x:v>10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202311</x:v>
      </x:c>
      <x:c r="AA29" s="3" t="n">
        <x:v>1710</x:v>
      </x:c>
      <x:c r="AB29" s="5" t="n">
        <x:v>2070.8</x:v>
      </x:c>
      <x:c r="AC29" s="5" t="n">
        <x:v>1196.866666666667</x:v>
      </x:c>
      <x:c r="AD29" s="5" t="n">
        <x:v>1050.9</x:v>
      </x:c>
      <x:c r="AE29" s="5" t="n">
        <x:v>1261.5</x:v>
      </x:c>
      <x:c r="AF29" s="5" t="n">
        <x:v>1408.166666666667</x:v>
      </x:c>
      <x:c r="AG29" s="5" t="n">
        <x:v>1452.366666666667</x:v>
      </x:c>
      <x:c r="AH29" s="5" t="n">
        <x:v>1617.8</x:v>
      </x:c>
      <x:c r="AI29" s="5" t="n">
        <x:v>1895.8</x:v>
      </x:c>
      <x:c r="AJ29" s="5" t="n">
        <x:v>2142.3</x:v>
      </x:c>
      <x:c r="AK29" s="5" t="n">
        <x:v>2014.133333333333</x:v>
      </x:c>
      <x:c r="AL29" s="5" t="n">
        <x:v>1891.3</x:v>
      </x:c>
      <x:c r="AM29" s="5" t="n">
        <x:v>1767.233333333333</x:v>
      </x:c>
      <x:c r="AN29" s="3" t="n">
        <x:v>1710</x:v>
      </x:c>
      <x:c r="AO29" s="5" t="n">
        <x:v>717.1333333333333</x:v>
      </x:c>
      <x:c r="AP29" s="5" t="n">
        <x:v>799.9</x:v>
      </x:c>
      <x:c r="AQ29" s="5" t="n">
        <x:v>158.2</x:v>
      </x:c>
      <x:c r="AR29" s="5" t="n">
        <x:v>30.06666666666667</x:v>
      </x:c>
      <x:c r="AS29" s="5" t="n">
        <x:v>2.033333333333333</x:v>
      </x:c>
      <x:c r="AT29" s="5" t="n">
        <x:v>2.666666666666667</x:v>
      </x:c>
      <x:c r="AU29" s="5" t="n">
        <x:v>0.4193762183235867</x:v>
      </x:c>
      <x:c r="AV29" s="5" t="n">
        <x:v>0.4677777777777777</x:v>
      </x:c>
      <x:c r="AW29" s="5" t="n">
        <x:v>0.09251461988304092</x:v>
      </x:c>
      <x:c r="AX29" s="5" t="n">
        <x:v>0.01758284600389863</x:v>
      </x:c>
      <x:c r="AY29" s="5" t="n">
        <x:v>0.001189083820662768</x:v>
      </x:c>
      <x:c r="AZ29" s="5" t="n">
        <x:v>0.001559454191033138</x:v>
      </x:c>
      <x:c r="BA29" s="5" t="n">
        <x:v>830.0333333333333</x:v>
      </x:c>
      <x:c r="BB29" s="5" t="n">
        <x:v>475.9333333333333</x:v>
      </x:c>
      <x:c r="BC29" s="5" t="n">
        <x:v>297.2333333333333</x:v>
      </x:c>
      <x:c r="BD29" s="3" t="n">
        <x:v>70</x:v>
      </x:c>
      <x:c r="BE29" s="5" t="n">
        <x:v>11.26666666666667</x:v>
      </x:c>
      <x:c r="BF29" s="5" t="n">
        <x:v>25.53333333333333</x:v>
      </x:c>
      <x:c r="BG29" s="5" t="n">
        <x:v>0.4853996101364522</x:v>
      </x:c>
      <x:c r="BH29" s="5" t="n">
        <x:v>0.2783235867446394</x:v>
      </x:c>
      <x:c r="BI29" s="5" t="n">
        <x:v>0.1738206627680312</x:v>
      </x:c>
      <x:c r="BJ29" s="5" t="n">
        <x:v>0.04093567251461988</x:v>
      </x:c>
      <x:c r="BK29" s="5" t="n">
        <x:v>0.00658869395711501</x:v>
      </x:c>
      <x:c r="BL29" s="5" t="n">
        <x:v>0.0149317738791423</x:v>
      </x:c>
      <x:c r="BM29" s="3" t="n">
        <x:v>202311</x:v>
      </x:c>
      <x:c r="BN29" s="3" t="n">
        <x:v>26</x:v>
      </x:c>
      <x:c r="BO29" s="3" t="n">
        <x:v>0</x:v>
      </x:c>
      <x:c r="BP29" s="3" t="n">
        <x:v>25</x:v>
      </x:c>
      <x:c r="BQ29" s="5" t="n">
        <x:v>1402.32849002849</x:v>
      </x:c>
      <x:c r="BR29" s="5" t="n">
        <x:v>38.6439772079772</x:v>
      </x:c>
      <x:c r="BS29" s="5" t="n">
        <x:v>0.0275570078499882</x:v>
      </x:c>
      <x:c r="BT29" s="5" t="n">
        <x:v>2.75570078499882</x:v>
      </x:c>
      <x:c r="BU29" s="5" t="n">
        <x:v>1402.32849002849</x:v>
      </x:c>
      <x:c r="BV29" s="5" t="n">
        <x:v>1402.32849002849</x:v>
      </x:c>
      <x:c r="BW29" s="5" t="n">
        <x:v>2368.42792022792</x:v>
      </x:c>
      <x:c r="BX29" s="5" t="n">
        <x:v>0.5206373800421525</x:v>
      </x:c>
    </x:row>
    <x:row r="30">
      <x:c r="A30" s="3" t="n">
        <x:v>10000888</x:v>
      </x:c>
      <x:c r="B30" s="6" t="n">
        <x:v>45260</x:v>
      </x:c>
      <x:c r="C30" s="5" t="n">
        <x:v>42095.4</x:v>
      </x:c>
      <x:c r="D30" s="5" t="n">
        <x:v>10126.2</x:v>
      </x:c>
      <x:c r="E30" s="3" t="n">
        <x:v>14413</x:v>
      </x:c>
      <x:c r="F30" s="3" t="n">
        <x:v>6004</x:v>
      </x:c>
      <x:c r="G30" s="3" t="n">
        <x:v>2208</x:v>
      </x:c>
      <x:c r="H30" s="5" t="n">
        <x:v>9344.200000000001</x:v>
      </x:c>
      <x:c r="I30" s="3" t="n">
        <x:v>102556</x:v>
      </x:c>
      <x:c r="J30" s="5" t="n">
        <x:v>0.007400834665938609</x:v>
      </x:c>
      <x:c r="K30" s="5" t="n">
        <x:v>0.06731931822613986</x:v>
      </x:c>
      <x:c r="L30" s="5" t="n">
        <x:v>0.2306642224735754</x:v>
      </x:c>
      <x:c r="M30" s="5" t="n">
        <x:v>0.4821853426420687</x:v>
      </x:c>
      <x:c r="N30" s="5" t="n">
        <x:v>0.1427902804321541</x:v>
      </x:c>
      <x:c r="O30" s="5" t="n">
        <x:v>0.06964000156012325</x:v>
      </x:c>
      <x:c r="P30" s="3" t="n">
        <x:v>13</x:v>
      </x:c>
      <x:c r="Q30" s="3" t="n">
        <x:v>3</x:v>
      </x:c>
      <x:c r="R30" s="3" t="n">
        <x:v>0</x:v>
      </x:c>
      <x:c r="S30" s="3" t="n">
        <x:v>1</x:v>
      </x:c>
      <x:c r="T30" s="3" t="n">
        <x:v>5</x:v>
      </x:c>
      <x:c r="U30" s="3" t="n">
        <x:v>3</x:v>
      </x:c>
      <x:c r="V30" s="3" t="n">
        <x:v>1</x:v>
      </x:c>
      <x:c r="W30" s="3" t="n">
        <x:v>0</x:v>
      </x:c>
      <x:c r="X30" s="3" t="n">
        <x:v>1</x:v>
      </x:c>
      <x:c r="Y30" s="3" t="n">
        <x:v>0</x:v>
      </x:c>
      <x:c r="Z30" s="3" t="n">
        <x:v>202311</x:v>
      </x:c>
      <x:c r="AA30" s="5" t="n">
        <x:v>1257.766666666667</x:v>
      </x:c>
      <x:c r="AB30" s="5" t="n">
        <x:v>2013.3</x:v>
      </x:c>
      <x:c r="AC30" s="5" t="n">
        <x:v>958.1666666666666</x:v>
      </x:c>
      <x:c r="AD30" s="5" t="n">
        <x:v>821.9333333333333</x:v>
      </x:c>
      <x:c r="AE30" s="5" t="n">
        <x:v>967.4666666666667</x:v>
      </x:c>
      <x:c r="AF30" s="5" t="n">
        <x:v>1080.433333333333</x:v>
      </x:c>
      <x:c r="AG30" s="5" t="n">
        <x:v>1093.433333333333</x:v>
      </x:c>
      <x:c r="AH30" s="5" t="n">
        <x:v>1135.566666666667</x:v>
      </x:c>
      <x:c r="AI30" s="5" t="n">
        <x:v>1382.7</x:v>
      </x:c>
      <x:c r="AJ30" s="5" t="n">
        <x:v>1483.466666666667</x:v>
      </x:c>
      <x:c r="AK30" s="5" t="n">
        <x:v>1381.866666666667</x:v>
      </x:c>
      <x:c r="AL30" s="5" t="n">
        <x:v>1224.033333333333</x:v>
      </x:c>
      <x:c r="AM30" s="5" t="n">
        <x:v>1238.933333333333</x:v>
      </x:c>
      <x:c r="AN30" s="5" t="n">
        <x:v>1257.766666666667</x:v>
      </x:c>
      <x:c r="AO30" s="5" t="n">
        <x:v>255.6333333333333</x:v>
      </x:c>
      <x:c r="AP30" s="5" t="n">
        <x:v>710.7666666666667</x:v>
      </x:c>
      <x:c r="AQ30" s="5" t="n">
        <x:v>239.5666666666667</x:v>
      </x:c>
      <x:c r="AR30" s="5" t="n">
        <x:v>47.33333333333334</x:v>
      </x:c>
      <x:c r="AS30" s="5" t="n">
        <x:v>1.966666666666667</x:v>
      </x:c>
      <x:c r="AT30" s="5" t="n">
        <x:v>2.5</x:v>
      </x:c>
      <x:c r="AU30" s="5" t="n">
        <x:v>0.2032438449102907</x:v>
      </x:c>
      <x:c r="AV30" s="5" t="n">
        <x:v>0.5651021652134736</x:v>
      </x:c>
      <x:c r="AW30" s="5" t="n">
        <x:v>0.1904698804759759</x:v>
      </x:c>
      <x:c r="AX30" s="5" t="n">
        <x:v>0.0376328412795166</x:v>
      </x:c>
      <x:c r="AY30" s="5" t="n">
        <x:v>0.001563618053163014</x:v>
      </x:c>
      <x:c r="AZ30" s="5" t="n">
        <x:v>0.001987650067580102</x:v>
      </x:c>
      <x:c r="BA30" s="5" t="n">
        <x:v>184.2</x:v>
      </x:c>
      <x:c r="BB30" s="5" t="n">
        <x:v>587.0666666666667</x:v>
      </x:c>
      <x:c r="BC30" s="5" t="n">
        <x:v>346.6666666666667</x:v>
      </x:c>
      <x:c r="BD30" s="5" t="n">
        <x:v>122.4</x:v>
      </x:c>
      <x:c r="BE30" s="5" t="n">
        <x:v>1.066666666666667</x:v>
      </x:c>
      <x:c r="BF30" s="5" t="n">
        <x:v>16.36666666666667</x:v>
      </x:c>
      <x:c r="BG30" s="5" t="n">
        <x:v>0.1464500569793019</x:v>
      </x:c>
      <x:c r="BH30" s="5" t="n">
        <x:v>0.4667532398696102</x:v>
      </x:c>
      <x:c r="BI30" s="5" t="n">
        <x:v>0.2756208093711076</x:v>
      </x:c>
      <x:c r="BJ30" s="5" t="n">
        <x:v>0.09731534730872181</x:v>
      </x:c>
      <x:c r="BK30" s="5" t="n">
        <x:v>0.000848064028834177</x:v>
      </x:c>
      <x:c r="BL30" s="5" t="n">
        <x:v>0.0130124824424244</x:v>
      </x:c>
      <x:c r="BM30" s="3" t="n">
        <x:v>202311</x:v>
      </x:c>
      <x:c r="BN30" s="3" t="n">
        <x:v>26</x:v>
      </x:c>
      <x:c r="BO30" s="3" t="n">
        <x:v>0</x:v>
      </x:c>
      <x:c r="BP30" s="3" t="n">
        <x:v>25</x:v>
      </x:c>
      <x:c r="BQ30" s="5" t="n">
        <x:v>1031.58660968661</x:v>
      </x:c>
      <x:c r="BR30" s="5" t="n">
        <x:v>34.34578917378918</x:v>
      </x:c>
      <x:c r="BS30" s="5" t="n">
        <x:v>0.03329414016359057</x:v>
      </x:c>
      <x:c r="BT30" s="5" t="n">
        <x:v>3.329414016359057</x:v>
      </x:c>
      <x:c r="BU30" s="5" t="n">
        <x:v>1031.58660968661</x:v>
      </x:c>
      <x:c r="BV30" s="5" t="n">
        <x:v>1031.58660968661</x:v>
      </x:c>
      <x:c r="BW30" s="5" t="n">
        <x:v>1890.231339031339</x:v>
      </x:c>
      <x:c r="BX30" s="5" t="n">
        <x:v>0.4532996144781526</x:v>
      </x:c>
    </x:row>
    <x:row r="31">
      <x:c r="A31" s="3" t="n">
        <x:v>10000920</x:v>
      </x:c>
      <x:c r="B31" s="6" t="n">
        <x:v>45271</x:v>
      </x:c>
      <x:c r="C31" s="5" t="n">
        <x:v>69892.8</x:v>
      </x:c>
      <x:c r="D31" s="5" t="n">
        <x:v>27685.4</x:v>
      </x:c>
      <x:c r="E31" s="5" t="n">
        <x:v>25324.5</x:v>
      </x:c>
      <x:c r="F31" s="5" t="n">
        <x:v>7626.9</x:v>
      </x:c>
      <x:c r="G31" s="3" t="n">
        <x:v>9256</x:v>
      </x:c>
      <x:c r="H31" s="3" t="n"/>
      <x:c r="I31" s="3" t="n">
        <x:v>228688</x:v>
      </x:c>
      <x:c r="J31" s="5" t="n">
        <x:v>0.01106310781501434</x:v>
      </x:c>
      <x:c r="K31" s="5" t="n">
        <x:v>0.1034509899951025</x:v>
      </x:c>
      <x:c r="L31" s="5" t="n">
        <x:v>0.277976981739313</x:v>
      </x:c>
      <x:c r="M31" s="5" t="n">
        <x:v>0.4072579234590359</x:v>
      </x:c>
      <x:c r="N31" s="5" t="n">
        <x:v>0.1218297418316659</x:v>
      </x:c>
      <x:c r="O31" s="5" t="n">
        <x:v>0.07842125515986846</x:v>
      </x:c>
      <x:c r="P31" s="3" t="n">
        <x:v>26</x:v>
      </x:c>
      <x:c r="Q31" s="3" t="n">
        <x:v>5</x:v>
      </x:c>
      <x:c r="R31" s="3" t="n">
        <x:v>0</x:v>
      </x:c>
      <x:c r="S31" s="3" t="n">
        <x:v>15</x:v>
      </x:c>
      <x:c r="T31" s="3" t="n">
        <x:v>2</x:v>
      </x:c>
      <x:c r="U31" s="3" t="n">
        <x:v>2</x:v>
      </x:c>
      <x:c r="V31" s="3" t="n">
        <x:v>2</x:v>
      </x:c>
      <x:c r="W31" s="3" t="n">
        <x:v>1</x:v>
      </x:c>
      <x:c r="X31" s="3" t="n">
        <x:v>1</x:v>
      </x:c>
      <x:c r="Y31" s="3" t="n">
        <x:v>0</x:v>
      </x:c>
      <x:c r="Z31" s="3" t="n">
        <x:v>202312</x:v>
      </x:c>
      <x:c r="AA31" s="5" t="n">
        <x:v>1660.766666666667</x:v>
      </x:c>
      <x:c r="AB31" s="5" t="n">
        <x:v>2447.433333333333</x:v>
      </x:c>
      <x:c r="AC31" s="5" t="n">
        <x:v>1376.3</x:v>
      </x:c>
      <x:c r="AD31" s="5" t="n">
        <x:v>1239.1</x:v>
      </x:c>
      <x:c r="AE31" s="5" t="n">
        <x:v>1351.466666666667</x:v>
      </x:c>
      <x:c r="AF31" s="5" t="n">
        <x:v>1369.433333333333</x:v>
      </x:c>
      <x:c r="AG31" s="5" t="n">
        <x:v>1224.333333333333</x:v>
      </x:c>
      <x:c r="AH31" s="5" t="n">
        <x:v>1544.666666666667</x:v>
      </x:c>
      <x:c r="AI31" s="5" t="n">
        <x:v>1773.1</x:v>
      </x:c>
      <x:c r="AJ31" s="5" t="n">
        <x:v>1787.8</x:v>
      </x:c>
      <x:c r="AK31" s="5" t="n">
        <x:v>1689.166666666667</x:v>
      </x:c>
      <x:c r="AL31" s="5" t="n">
        <x:v>1702.866666666667</x:v>
      </x:c>
      <x:c r="AM31" s="5" t="n">
        <x:v>1649.8</x:v>
      </x:c>
      <x:c r="AN31" s="5" t="n">
        <x:v>1660.766666666667</x:v>
      </x:c>
      <x:c r="AO31" s="5" t="n">
        <x:v>464.4666666666666</x:v>
      </x:c>
      <x:c r="AP31" s="5" t="n">
        <x:v>806.2333333333333</x:v>
      </x:c>
      <x:c r="AQ31" s="5" t="n">
        <x:v>301.3333333333333</x:v>
      </x:c>
      <x:c r="AR31" s="5" t="n">
        <x:v>76.59999999999999</x:v>
      </x:c>
      <x:c r="AS31" s="5" t="n">
        <x:v>3.666666666666667</x:v>
      </x:c>
      <x:c r="AT31" s="5" t="n">
        <x:v>8.466666666666667</x:v>
      </x:c>
      <x:c r="AU31" s="5" t="n">
        <x:v>0.2796700319129719</x:v>
      </x:c>
      <x:c r="AV31" s="5" t="n">
        <x:v>0.485458523172029</x:v>
      </x:c>
      <x:c r="AW31" s="5" t="n">
        <x:v>0.1814423057623989</x:v>
      </x:c>
      <x:c r="AX31" s="5" t="n">
        <x:v>0.04612327639845051</x:v>
      </x:c>
      <x:c r="AY31" s="5" t="n">
        <x:v>0.002207815667462818</x:v>
      </x:c>
      <x:c r="AZ31" s="5" t="n">
        <x:v>0.005098047086686872</x:v>
      </x:c>
      <x:c r="BA31" s="5" t="n">
        <x:v>512.3</x:v>
      </x:c>
      <x:c r="BB31" s="5" t="n">
        <x:v>338.3</x:v>
      </x:c>
      <x:c r="BC31" s="5" t="n">
        <x:v>459.7333333333333</x:v>
      </x:c>
      <x:c r="BD31" s="5" t="n">
        <x:v>327.0666666666667</x:v>
      </x:c>
      <x:c r="BE31" s="5" t="n">
        <x:v>9.199999999999999</x:v>
      </x:c>
      <x:c r="BF31" s="5" t="n">
        <x:v>14.16666666666667</x:v>
      </x:c>
      <x:c r="BG31" s="5" t="n">
        <x:v>0.3084719908476005</x:v>
      </x:c>
      <x:c r="BH31" s="5" t="n">
        <x:v>0.2037011019007286</x:v>
      </x:c>
      <x:c r="BI31" s="5" t="n">
        <x:v>0.2768199425967927</x:v>
      </x:c>
      <x:c r="BJ31" s="5" t="n">
        <x:v>0.1969371575376834</x:v>
      </x:c>
      <x:c r="BK31" s="5" t="n">
        <x:v>0.005539610220179435</x:v>
      </x:c>
      <x:c r="BL31" s="5" t="n">
        <x:v>0.008530196897015434</x:v>
      </x:c>
      <x:c r="BM31" s="3" t="n">
        <x:v>202312</x:v>
      </x:c>
      <x:c r="BN31" s="3" t="n">
        <x:v>25</x:v>
      </x:c>
      <x:c r="BO31" s="3" t="n">
        <x:v>0</x:v>
      </x:c>
      <x:c r="BP31" s="3" t="n">
        <x:v>24</x:v>
      </x:c>
      <x:c r="BQ31" s="5" t="n">
        <x:v>1430.628102564102</x:v>
      </x:c>
      <x:c r="BR31" s="5" t="n">
        <x:v>32.20543589743586</x:v>
      </x:c>
      <x:c r="BS31" s="5" t="n">
        <x:v>0.02251139610616787</x:v>
      </x:c>
      <x:c r="BT31" s="5" t="n">
        <x:v>2.251139610616787</x:v>
      </x:c>
      <x:c r="BU31" s="5" t="n">
        <x:v>1430.628102564102</x:v>
      </x:c>
      <x:c r="BV31" s="5" t="n">
        <x:v>1430.628102564102</x:v>
      </x:c>
      <x:c r="BW31" s="5" t="n">
        <x:v>2203.558564102563</x:v>
      </x:c>
      <x:c r="BX31" s="5" t="n">
        <x:v>0.3827358632826621</x:v>
      </x:c>
    </x:row>
    <x:row r="32">
      <x:c r="A32" s="3" t="n">
        <x:v>10000921</x:v>
      </x:c>
      <x:c r="B32" s="6" t="n">
        <x:v>45284</x:v>
      </x:c>
      <x:c r="C32" s="5" t="n">
        <x:v>39068.79999999989</x:v>
      </x:c>
      <x:c r="D32" s="5" t="n">
        <x:v>25251.1999999999</x:v>
      </x:c>
      <x:c r="E32" s="3" t="n">
        <x:v>13808</x:v>
      </x:c>
      <x:c r="F32" s="5" t="n">
        <x:v>9.6</x:v>
      </x:c>
      <x:c r="G32" s="3" t="n"/>
      <x:c r="H32" s="3" t="n"/>
      <x:c r="I32" s="3" t="n">
        <x:v>103246</x:v>
      </x:c>
      <x:c r="J32" s="5" t="n">
        <x:v>0.007554772097708386</x:v>
      </x:c>
      <x:c r="K32" s="5" t="n">
        <x:v>0.07247738411173314</x:v>
      </x:c>
      <x:c r="L32" s="5" t="n">
        <x:v>0.2098676946322376</x:v>
      </x:c>
      <x:c r="M32" s="5" t="n">
        <x:v>0.4561629506227844</x:v>
      </x:c>
      <x:c r="N32" s="5" t="n">
        <x:v>0.1824477461596575</x:v>
      </x:c>
      <x:c r="O32" s="5" t="n">
        <x:v>0.07148945237587896</x:v>
      </x:c>
      <x:c r="P32" s="3" t="n">
        <x:v>20</x:v>
      </x:c>
      <x:c r="Q32" s="3" t="n">
        <x:v>5</x:v>
      </x:c>
      <x:c r="R32" s="3" t="n">
        <x:v>0</x:v>
      </x:c>
      <x:c r="S32" s="3" t="n">
        <x:v>9</x:v>
      </x:c>
      <x:c r="T32" s="3" t="n">
        <x:v>2</x:v>
      </x:c>
      <x:c r="U32" s="3" t="n">
        <x:v>0</x:v>
      </x:c>
      <x:c r="V32" s="3" t="n">
        <x:v>4</x:v>
      </x:c>
      <x:c r="W32" s="3" t="n">
        <x:v>0</x:v>
      </x:c>
      <x:c r="X32" s="3" t="n">
        <x:v>2</x:v>
      </x:c>
      <x:c r="Y32" s="3" t="n">
        <x:v>0</x:v>
      </x:c>
      <x:c r="Z32" s="3" t="n">
        <x:v>202312</x:v>
      </x:c>
      <x:c r="AA32" s="5" t="n">
        <x:v>1442.466666666667</x:v>
      </x:c>
      <x:c r="AB32" s="5" t="n">
        <x:v>1768.966666666667</x:v>
      </x:c>
      <x:c r="AC32" s="5" t="n">
        <x:v>870.6333333333333</x:v>
      </x:c>
      <x:c r="AD32" s="5" t="n">
        <x:v>1090.166666666667</x:v>
      </x:c>
      <x:c r="AE32" s="5" t="n">
        <x:v>1145.366666666667</x:v>
      </x:c>
      <x:c r="AF32" s="5" t="n">
        <x:v>1105.066666666667</x:v>
      </x:c>
      <x:c r="AG32" s="5" t="n">
        <x:v>1137.9</x:v>
      </x:c>
      <x:c r="AH32" s="5" t="n">
        <x:v>1413.466666666667</x:v>
      </x:c>
      <x:c r="AI32" s="5" t="n">
        <x:v>1662.966666666667</x:v>
      </x:c>
      <x:c r="AJ32" s="5" t="n">
        <x:v>1582.066666666667</x:v>
      </x:c>
      <x:c r="AK32" s="5" t="n">
        <x:v>1375.733333333333</x:v>
      </x:c>
      <x:c r="AL32" s="5" t="n">
        <x:v>1459.366666666667</x:v>
      </x:c>
      <x:c r="AM32" s="5" t="n">
        <x:v>1444.666666666667</x:v>
      </x:c>
      <x:c r="AN32" s="5" t="n">
        <x:v>1442.466666666667</x:v>
      </x:c>
      <x:c r="AO32" s="5" t="n">
        <x:v>491.1</x:v>
      </x:c>
      <x:c r="AP32" s="3" t="n">
        <x:v>697</x:v>
      </x:c>
      <x:c r="AQ32" s="5" t="n">
        <x:v>196.2666666666667</x:v>
      </x:c>
      <x:c r="AR32" s="5" t="n">
        <x:v>51.26666666666667</x:v>
      </x:c>
      <x:c r="AS32" s="3" t="n">
        <x:v>3</x:v>
      </x:c>
      <x:c r="AT32" s="5" t="n">
        <x:v>3.833333333333333</x:v>
      </x:c>
      <x:c r="AU32" s="5" t="n">
        <x:v>0.3404584739104312</x:v>
      </x:c>
      <x:c r="AV32" s="5" t="n">
        <x:v>0.4832000739474049</x:v>
      </x:c>
      <x:c r="AW32" s="5" t="n">
        <x:v>0.1360632250311966</x:v>
      </x:c>
      <x:c r="AX32" s="5" t="n">
        <x:v>0.03554097148403198</x:v>
      </x:c>
      <x:c r="AY32" s="5" t="n">
        <x:v>0.002079770763044784</x:v>
      </x:c>
      <x:c r="AZ32" s="5" t="n">
        <x:v>0.002657484863890558</x:v>
      </x:c>
      <x:c r="BA32" s="5" t="n">
        <x:v>707.0666666666667</x:v>
      </x:c>
      <x:c r="BB32" s="5" t="n">
        <x:v>379.9</x:v>
      </x:c>
      <x:c r="BC32" s="5" t="n">
        <x:v>246.5333333333333</x:v>
      </x:c>
      <x:c r="BD32" s="5" t="n">
        <x:v>95.09999999999999</x:v>
      </x:c>
      <x:c r="BE32" s="3" t="n">
        <x:v>0</x:v>
      </x:c>
      <x:c r="BF32" s="5" t="n">
        <x:v>13.86666666666667</x:v>
      </x:c>
      <x:c r="BG32" s="5" t="n">
        <x:v>0.4901788602856219</x:v>
      </x:c>
      <x:c r="BH32" s="5" t="n">
        <x:v>0.2633683042935712</x:v>
      </x:c>
      <x:c r="BI32" s="5" t="n">
        <x:v>0.1709109395942136</x:v>
      </x:c>
      <x:c r="BJ32" s="5" t="n">
        <x:v>0.06592873318851966</x:v>
      </x:c>
      <x:c r="BK32" s="3" t="n">
        <x:v>0</x:v>
      </x:c>
      <x:c r="BL32" s="5" t="n">
        <x:v>0.00961316263807367</x:v>
      </x:c>
      <x:c r="BM32" s="3" t="n">
        <x:v>202312</x:v>
      </x:c>
      <x:c r="BN32" s="3" t="n">
        <x:v>25</x:v>
      </x:c>
      <x:c r="BO32" s="3" t="n">
        <x:v>0</x:v>
      </x:c>
      <x:c r="BP32" s="3" t="n">
        <x:v>24</x:v>
      </x:c>
      <x:c r="BQ32" s="5" t="n">
        <x:v>1125.980102564102</x:v>
      </x:c>
      <x:c r="BR32" s="5" t="n">
        <x:v>38.00543589743588</x:v>
      </x:c>
      <x:c r="BS32" s="5" t="n">
        <x:v>0.03375320381851261</x:v>
      </x:c>
      <x:c r="BT32" s="5" t="n">
        <x:v>3.375320381851261</x:v>
      </x:c>
      <x:c r="BU32" s="5" t="n">
        <x:v>1125.980102564102</x:v>
      </x:c>
      <x:c r="BV32" s="5" t="n">
        <x:v>1125.980102564102</x:v>
      </x:c>
      <x:c r="BW32" s="5" t="n">
        <x:v>2038.110564102564</x:v>
      </x:c>
      <x:c r="BX32" s="5" t="n">
        <x:v>0.6093572820686726</x:v>
      </x:c>
    </x:row>
    <x:row r="33">
      <x:c r="A33" s="3" t="n">
        <x:v>10000928</x:v>
      </x:c>
      <x:c r="B33" s="6" t="n">
        <x:v>45281</x:v>
      </x:c>
      <x:c r="C33" s="3" t="n">
        <x:v>60046</x:v>
      </x:c>
      <x:c r="D33" s="3" t="n">
        <x:v>22617</x:v>
      </x:c>
      <x:c r="E33" s="5" t="n">
        <x:v>22453.8</x:v>
      </x:c>
      <x:c r="F33" s="5" t="n">
        <x:v>11070.2</x:v>
      </x:c>
      <x:c r="G33" s="3" t="n">
        <x:v>3905</x:v>
      </x:c>
      <x:c r="H33" s="3" t="n"/>
      <x:c r="I33" s="3" t="n">
        <x:v>142026</x:v>
      </x:c>
      <x:c r="J33" s="5" t="n">
        <x:v>0.00507653528227226</x:v>
      </x:c>
      <x:c r="K33" s="5" t="n">
        <x:v>0.06327010547364567</x:v>
      </x:c>
      <x:c r="L33" s="5" t="n">
        <x:v>0.2315913987579739</x:v>
      </x:c>
      <x:c r="M33" s="5" t="n">
        <x:v>0.4835734302170025</x:v>
      </x:c>
      <x:c r="N33" s="5" t="n">
        <x:v>0.146114091786011</x:v>
      </x:c>
      <x:c r="O33" s="5" t="n">
        <x:v>0.07037443848309465</x:v>
      </x:c>
      <x:c r="P33" s="3" t="n">
        <x:v>20</x:v>
      </x:c>
      <x:c r="Q33" s="3" t="n">
        <x:v>4</x:v>
      </x:c>
      <x:c r="R33" s="3" t="n">
        <x:v>0</x:v>
      </x:c>
      <x:c r="S33" s="3" t="n">
        <x:v>7</x:v>
      </x:c>
      <x:c r="T33" s="3" t="n">
        <x:v>4</x:v>
      </x:c>
      <x:c r="U33" s="3" t="n">
        <x:v>3</x:v>
      </x:c>
      <x:c r="V33" s="3" t="n">
        <x:v>2</x:v>
      </x:c>
      <x:c r="W33" s="3" t="n">
        <x:v>1</x:v>
      </x:c>
      <x:c r="X33" s="3" t="n">
        <x:v>1</x:v>
      </x:c>
      <x:c r="Y33" s="3" t="n">
        <x:v>1</x:v>
      </x:c>
      <x:c r="Z33" s="3" t="n">
        <x:v>202312</x:v>
      </x:c>
      <x:c r="AA33" s="5" t="n">
        <x:v>1457.966666666667</x:v>
      </x:c>
      <x:c r="AB33" s="5" t="n">
        <x:v>1451.466666666667</x:v>
      </x:c>
      <x:c r="AC33" s="5" t="n">
        <x:v>889.4333333333333</x:v>
      </x:c>
      <x:c r="AD33" s="5" t="n">
        <x:v>980.9333333333333</x:v>
      </x:c>
      <x:c r="AE33" s="5" t="n">
        <x:v>1222.066666666667</x:v>
      </x:c>
      <x:c r="AF33" s="5" t="n">
        <x:v>1228.166666666667</x:v>
      </x:c>
      <x:c r="AG33" s="5" t="n">
        <x:v>1281.033333333333</x:v>
      </x:c>
      <x:c r="AH33" s="5" t="n">
        <x:v>1534.6</x:v>
      </x:c>
      <x:c r="AI33" s="5" t="n">
        <x:v>1754.6</x:v>
      </x:c>
      <x:c r="AJ33" s="5" t="n">
        <x:v>1737.6</x:v>
      </x:c>
      <x:c r="AK33" s="5" t="n">
        <x:v>1515.9</x:v>
      </x:c>
      <x:c r="AL33" s="5" t="n">
        <x:v>1416.766666666667</x:v>
      </x:c>
      <x:c r="AM33" s="5" t="n">
        <x:v>1426.933333333333</x:v>
      </x:c>
      <x:c r="AN33" s="5" t="n">
        <x:v>1457.966666666667</x:v>
      </x:c>
      <x:c r="AO33" s="5" t="n">
        <x:v>415.8</x:v>
      </x:c>
      <x:c r="AP33" s="5" t="n">
        <x:v>777.6666666666666</x:v>
      </x:c>
      <x:c r="AQ33" s="5" t="n">
        <x:v>212.5666666666667</x:v>
      </x:c>
      <x:c r="AR33" s="5" t="n">
        <x:v>45.2</x:v>
      </x:c>
      <x:c r="AS33" s="5" t="n">
        <x:v>2.8</x:v>
      </x:c>
      <x:c r="AT33" s="5" t="n">
        <x:v>3.933333333333333</x:v>
      </x:c>
      <x:c r="AU33" s="5" t="n">
        <x:v>0.2851917053430577</x:v>
      </x:c>
      <x:c r="AV33" s="5" t="n">
        <x:v>0.5333912526578111</x:v>
      </x:c>
      <x:c r="AW33" s="5" t="n">
        <x:v>0.1457966574453005</x:v>
      </x:c>
      <x:c r="AX33" s="5" t="n">
        <x:v>0.03100208052310295</x:v>
      </x:c>
      <x:c r="AY33" s="5" t="n">
        <x:v>0.001920482864263015</x:v>
      </x:c>
      <x:c r="AZ33" s="5" t="n">
        <x:v>0.002697821166464711</x:v>
      </x:c>
      <x:c r="BA33" s="5" t="n">
        <x:v>343.3333333333333</x:v>
      </x:c>
      <x:c r="BB33" s="5" t="n">
        <x:v>370.6</x:v>
      </x:c>
      <x:c r="BC33" s="5" t="n">
        <x:v>377.4</x:v>
      </x:c>
      <x:c r="BD33" s="5" t="n">
        <x:v>334.0333333333334</x:v>
      </x:c>
      <x:c r="BE33" s="5" t="n">
        <x:v>16.16666666666667</x:v>
      </x:c>
      <x:c r="BF33" s="5" t="n">
        <x:v>16.43333333333333</x:v>
      </x:c>
      <x:c r="BG33" s="5" t="n">
        <x:v>0.2354877797846315</x:v>
      </x:c>
      <x:c r="BH33" s="5" t="n">
        <x:v>0.2541896248199547</x:v>
      </x:c>
      <x:c r="BI33" s="5" t="n">
        <x:v>0.2588536546331649</x:v>
      </x:c>
      <x:c r="BJ33" s="5" t="n">
        <x:v>0.2291090331283294</x:v>
      </x:c>
      <x:c r="BK33" s="5" t="n">
        <x:v>0.01108850225199479</x:v>
      </x:c>
      <x:c r="BL33" s="5" t="n">
        <x:v>0.0112714053819246</x:v>
      </x:c>
      <x:c r="BM33" s="3" t="n">
        <x:v>202312</x:v>
      </x:c>
      <x:c r="BN33" s="3" t="n">
        <x:v>25</x:v>
      </x:c>
      <x:c r="BO33" s="3" t="n">
        <x:v>0</x:v>
      </x:c>
      <x:c r="BP33" s="3" t="n">
        <x:v>24</x:v>
      </x:c>
      <x:c r="BQ33" s="5" t="n">
        <x:v>1121.702974358974</x:v>
      </x:c>
      <x:c r="BR33" s="5" t="n">
        <x:v>44.34330769230768</x:v>
      </x:c>
      <x:c r="BS33" s="5" t="n">
        <x:v>0.03953212990065288</x:v>
      </x:c>
      <x:c r="BT33" s="5" t="n">
        <x:v>3.953212990065289</x:v>
      </x:c>
      <x:c r="BU33" s="5" t="n">
        <x:v>1121.702974358974</x:v>
      </x:c>
      <x:c r="BV33" s="5" t="n">
        <x:v>1121.702974358974</x:v>
      </x:c>
      <x:c r="BW33" s="5" t="n">
        <x:v>2185.942358974358</x:v>
      </x:c>
      <x:c r="BX33" s="5" t="n">
        <x:v>0.6274179243123568</x:v>
      </x:c>
    </x:row>
    <x:row r="34">
      <x:c r="A34" s="3" t="n">
        <x:v>10000929</x:v>
      </x:c>
      <x:c r="B34" s="6" t="n">
        <x:v>45286</x:v>
      </x:c>
      <x:c r="C34" s="5" t="n">
        <x:v>79837.10000000001</x:v>
      </x:c>
      <x:c r="D34" s="5" t="n">
        <x:v>30410.8</x:v>
      </x:c>
      <x:c r="E34" s="3" t="n">
        <x:v>21261</x:v>
      </x:c>
      <x:c r="F34" s="5" t="n">
        <x:v>25947.5</x:v>
      </x:c>
      <x:c r="G34" s="5" t="n">
        <x:v>2217.8</x:v>
      </x:c>
      <x:c r="H34" s="3" t="n"/>
      <x:c r="I34" s="3" t="n">
        <x:v>156887</x:v>
      </x:c>
      <x:c r="J34" s="5" t="n">
        <x:v>0.005583636630186057</x:v>
      </x:c>
      <x:c r="K34" s="5" t="n">
        <x:v>0.06981457992057978</x:v>
      </x:c>
      <x:c r="L34" s="5" t="n">
        <x:v>0.2202094501137762</x:v>
      </x:c>
      <x:c r="M34" s="5" t="n">
        <x:v>0.4598405221592611</x:v>
      </x:c>
      <x:c r="N34" s="5" t="n">
        <x:v>0.1678214256120647</x:v>
      </x:c>
      <x:c r="O34" s="5" t="n">
        <x:v>0.07673038556413214</x:v>
      </x:c>
      <x:c r="P34" s="3" t="n">
        <x:v>43</x:v>
      </x:c>
      <x:c r="Q34" s="3" t="n">
        <x:v>7</x:v>
      </x:c>
      <x:c r="R34" s="3" t="n">
        <x:v>0</x:v>
      </x:c>
      <x:c r="S34" s="3" t="n">
        <x:v>21</x:v>
      </x:c>
      <x:c r="T34" s="3" t="n">
        <x:v>2</x:v>
      </x:c>
      <x:c r="U34" s="3" t="n">
        <x:v>7</x:v>
      </x:c>
      <x:c r="V34" s="3" t="n">
        <x:v>6</x:v>
      </x:c>
      <x:c r="W34" s="3" t="n">
        <x:v>1</x:v>
      </x:c>
      <x:c r="X34" s="3" t="n">
        <x:v>3</x:v>
      </x:c>
      <x:c r="Y34" s="3" t="n">
        <x:v>0</x:v>
      </x:c>
      <x:c r="Z34" s="3" t="n">
        <x:v>202312</x:v>
      </x:c>
      <x:c r="AA34" s="5" t="n">
        <x:v>1935.166666666667</x:v>
      </x:c>
      <x:c r="AB34" s="5" t="n">
        <x:v>1602.633333333333</x:v>
      </x:c>
      <x:c r="AC34" s="5" t="n">
        <x:v>845.7666666666667</x:v>
      </x:c>
      <x:c r="AD34" s="5" t="n">
        <x:v>980.1</x:v>
      </x:c>
      <x:c r="AE34" s="5" t="n">
        <x:v>1104.8</x:v>
      </x:c>
      <x:c r="AF34" s="5" t="n">
        <x:v>1105.666666666667</x:v>
      </x:c>
      <x:c r="AG34" s="5" t="n">
        <x:v>1408.6</x:v>
      </x:c>
      <x:c r="AH34" s="5" t="n">
        <x:v>1960.8</x:v>
      </x:c>
      <x:c r="AI34" s="5" t="n">
        <x:v>2414.7</x:v>
      </x:c>
      <x:c r="AJ34" s="5" t="n">
        <x:v>2326.8</x:v>
      </x:c>
      <x:c r="AK34" s="5" t="n">
        <x:v>2040.966666666667</x:v>
      </x:c>
      <x:c r="AL34" s="5" t="n">
        <x:v>1949.366666666667</x:v>
      </x:c>
      <x:c r="AM34" s="5" t="n">
        <x:v>1899.466666666667</x:v>
      </x:c>
      <x:c r="AN34" s="5" t="n">
        <x:v>1935.166666666667</x:v>
      </x:c>
      <x:c r="AO34" s="5" t="n">
        <x:v>616.9666666666667</x:v>
      </x:c>
      <x:c r="AP34" s="3" t="n">
        <x:v>977</x:v>
      </x:c>
      <x:c r="AQ34" s="5" t="n">
        <x:v>274.7</x:v>
      </x:c>
      <x:c r="AR34" s="5" t="n">
        <x:v>59.03333333333333</x:v>
      </x:c>
      <x:c r="AS34" s="5" t="n">
        <x:v>2.6</x:v>
      </x:c>
      <x:c r="AT34" s="5" t="n">
        <x:v>4.866666666666666</x:v>
      </x:c>
      <x:c r="AU34" s="5" t="n">
        <x:v>0.3188183618982</x:v>
      </x:c>
      <x:c r="AV34" s="5" t="n">
        <x:v>0.5048660752734476</x:v>
      </x:c>
      <x:c r="AW34" s="5" t="n">
        <x:v>0.1419515976229437</x:v>
      </x:c>
      <x:c r="AX34" s="5" t="n">
        <x:v>0.03050555507708207</x:v>
      </x:c>
      <x:c r="AY34" s="5" t="n">
        <x:v>0.001343553526828008</x:v>
      </x:c>
      <x:c r="AZ34" s="5" t="n">
        <x:v>0.002514856601498579</x:v>
      </x:c>
      <x:c r="BA34" s="5" t="n">
        <x:v>447.0333333333334</x:v>
      </x:c>
      <x:c r="BB34" s="5" t="n">
        <x:v>395.4666666666666</x:v>
      </x:c>
      <x:c r="BC34" s="5" t="n">
        <x:v>289.8333333333333</x:v>
      </x:c>
      <x:c r="BD34" s="3" t="n">
        <x:v>589</x:v>
      </x:c>
      <x:c r="BE34" s="5" t="n">
        <x:v>194.8</x:v>
      </x:c>
      <x:c r="BF34" s="5" t="n">
        <x:v>19.03333333333333</x:v>
      </x:c>
      <x:c r="BG34" s="5" t="n">
        <x:v>0.2310050813883386</x:v>
      </x:c>
      <x:c r="BH34" s="5" t="n">
        <x:v>0.2043579364395831</x:v>
      </x:c>
      <x:c r="BI34" s="5" t="n">
        <x:v>0.1497717681508914</x:v>
      </x:c>
      <x:c r="BJ34" s="5" t="n">
        <x:v>0.304366548962191</x:v>
      </x:c>
      <x:c r="BK34" s="5" t="n">
        <x:v>0.1006631642408061</x:v>
      </x:c>
      <x:c r="BL34" s="5" t="n">
        <x:v>0.009835500818189648</x:v>
      </x:c>
      <x:c r="BM34" s="3" t="n">
        <x:v>202312</x:v>
      </x:c>
      <x:c r="BN34" s="3" t="n">
        <x:v>25</x:v>
      </x:c>
      <x:c r="BO34" s="3" t="n">
        <x:v>0</x:v>
      </x:c>
      <x:c r="BP34" s="3" t="n">
        <x:v>24</x:v>
      </x:c>
      <x:c r="BQ34" s="5" t="n">
        <x:v>1155.937435897436</x:v>
      </x:c>
      <x:c r="BR34" s="5" t="n">
        <x:v>81.75743589743587</x:v>
      </x:c>
      <x:c r="BS34" s="5" t="n">
        <x:v>0.07072825341447808</x:v>
      </x:c>
      <x:c r="BT34" s="5" t="n">
        <x:v>7.072825341447809</x:v>
      </x:c>
      <x:c r="BU34" s="5" t="n">
        <x:v>1155.937435897436</x:v>
      </x:c>
      <x:c r="BV34" s="5" t="n">
        <x:v>1155.937435897436</x:v>
      </x:c>
      <x:c r="BW34" s="5" t="n">
        <x:v>3118.115897435897</x:v>
      </x:c>
      <x:c r="BX34" s="5" t="n">
        <x:v>0.7517661100747832</x:v>
      </x:c>
    </x:row>
    <x:row r="35">
      <x:c r="A35" s="3" t="n">
        <x:v>10000930</x:v>
      </x:c>
      <x:c r="B35" s="6" t="n">
        <x:v>45284</x:v>
      </x:c>
      <x:c r="C35" s="5" t="n">
        <x:v>35803.7</x:v>
      </x:c>
      <x:c r="D35" s="5" t="n">
        <x:v>22132.8</x:v>
      </x:c>
      <x:c r="E35" s="5" t="n">
        <x:v>12534.9</x:v>
      </x:c>
      <x:c r="F35" s="3" t="n">
        <x:v>1136</x:v>
      </x:c>
      <x:c r="G35" s="3" t="n"/>
      <x:c r="H35" s="3" t="n"/>
      <x:c r="I35" s="3" t="n">
        <x:v>152964</x:v>
      </x:c>
      <x:c r="J35" s="5" t="n">
        <x:v>0.01451321879657959</x:v>
      </x:c>
      <x:c r="K35" s="5" t="n">
        <x:v>0.08913208336602076</x:v>
      </x:c>
      <x:c r="L35" s="5" t="n">
        <x:v>0.2326691247613818</x:v>
      </x:c>
      <x:c r="M35" s="5" t="n">
        <x:v>0.4266951701053843</x:v>
      </x:c>
      <x:c r="N35" s="5" t="n">
        <x:v>0.1735114144504589</x:v>
      </x:c>
      <x:c r="O35" s="5" t="n">
        <x:v>0.06347898852017468</x:v>
      </x:c>
      <x:c r="P35" s="3" t="n">
        <x:v>26</x:v>
      </x:c>
      <x:c r="Q35" s="3" t="n">
        <x:v>3</x:v>
      </x:c>
      <x:c r="R35" s="3" t="n">
        <x:v>0</x:v>
      </x:c>
      <x:c r="S35" s="3" t="n">
        <x:v>13</x:v>
      </x:c>
      <x:c r="T35" s="3" t="n">
        <x:v>5</x:v>
      </x:c>
      <x:c r="U35" s="3" t="n">
        <x:v>4</x:v>
      </x:c>
      <x:c r="V35" s="3" t="n">
        <x:v>1</x:v>
      </x:c>
      <x:c r="W35" s="3" t="n">
        <x:v>0</x:v>
      </x:c>
      <x:c r="X35" s="3" t="n">
        <x:v>1</x:v>
      </x:c>
      <x:c r="Y35" s="3" t="n">
        <x:v>0</x:v>
      </x:c>
      <x:c r="Z35" s="3" t="n">
        <x:v>202312</x:v>
      </x:c>
      <x:c r="AA35" s="5" t="n">
        <x:v>1515.733333333333</x:v>
      </x:c>
      <x:c r="AB35" s="5" t="n">
        <x:v>1386.166666666667</x:v>
      </x:c>
      <x:c r="AC35" s="5" t="n">
        <x:v>671.4666666666667</x:v>
      </x:c>
      <x:c r="AD35" s="5" t="n">
        <x:v>1110.5</x:v>
      </x:c>
      <x:c r="AE35" s="5" t="n">
        <x:v>1498.133333333333</x:v>
      </x:c>
      <x:c r="AF35" s="5" t="n">
        <x:v>1490.3</x:v>
      </x:c>
      <x:c r="AG35" s="5" t="n">
        <x:v>1594.966666666667</x:v>
      </x:c>
      <x:c r="AH35" s="5" t="n">
        <x:v>1862.3</x:v>
      </x:c>
      <x:c r="AI35" s="5" t="n">
        <x:v>1848.666666666667</x:v>
      </x:c>
      <x:c r="AJ35" s="5" t="n">
        <x:v>1744.633333333333</x:v>
      </x:c>
      <x:c r="AK35" s="5" t="n">
        <x:v>1602.733333333333</x:v>
      </x:c>
      <x:c r="AL35" s="5" t="n">
        <x:v>1598.1</x:v>
      </x:c>
      <x:c r="AM35" s="5" t="n">
        <x:v>1545.633333333333</x:v>
      </x:c>
      <x:c r="AN35" s="5" t="n">
        <x:v>1515.733333333333</x:v>
      </x:c>
      <x:c r="AO35" s="5" t="n">
        <x:v>593.8333333333334</x:v>
      </x:c>
      <x:c r="AP35" s="5" t="n">
        <x:v>709.9333333333333</x:v>
      </x:c>
      <x:c r="AQ35" s="5" t="n">
        <x:v>163.3</x:v>
      </x:c>
      <x:c r="AR35" s="5" t="n">
        <x:v>42.86666666666667</x:v>
      </x:c>
      <x:c r="AS35" s="5" t="n">
        <x:v>2.6</x:v>
      </x:c>
      <x:c r="AT35" s="5" t="n">
        <x:v>3.2</x:v>
      </x:c>
      <x:c r="AU35" s="5" t="n">
        <x:v>0.3917795566502463</x:v>
      </x:c>
      <x:c r="AV35" s="5" t="n">
        <x:v>0.4683761435608726</x:v>
      </x:c>
      <x:c r="AW35" s="5" t="n">
        <x:v>0.1077366291344124</x:v>
      </x:c>
      <x:c r="AX35" s="5" t="n">
        <x:v>0.02828114004222379</x:v>
      </x:c>
      <x:c r="AY35" s="5" t="n">
        <x:v>0.001715341308937368</x:v>
      </x:c>
      <x:c r="AZ35" s="5" t="n">
        <x:v>0.00211118930330753</x:v>
      </x:c>
      <x:c r="BA35" s="5" t="n">
        <x:v>301.9</x:v>
      </x:c>
      <x:c r="BB35" s="5" t="n">
        <x:v>429.2</x:v>
      </x:c>
      <x:c r="BC35" s="5" t="n">
        <x:v>462.9666666666666</x:v>
      </x:c>
      <x:c r="BD35" s="5" t="n">
        <x:v>288.8</x:v>
      </x:c>
      <x:c r="BE35" s="5" t="n">
        <x:v>12.36666666666667</x:v>
      </x:c>
      <x:c r="BF35" s="5" t="n">
        <x:v>20.5</x:v>
      </x:c>
      <x:c r="BG35" s="5" t="n">
        <x:v>0.1991775158339198</x:v>
      </x:c>
      <x:c r="BH35" s="5" t="n">
        <x:v>0.2831632653061225</x:v>
      </x:c>
      <x:c r="BI35" s="5" t="n">
        <x:v>0.3054407107670654</x:v>
      </x:c>
      <x:c r="BJ35" s="5" t="n">
        <x:v>0.1905348346235046</x:v>
      </x:c>
      <x:c r="BK35" s="5" t="n">
        <x:v>0.008158866995073892</x:v>
      </x:c>
      <x:c r="BL35" s="5" t="n">
        <x:v>0.01352480647431386</x:v>
      </x:c>
      <x:c r="BM35" s="3" t="n">
        <x:v>202312</x:v>
      </x:c>
      <x:c r="BN35" s="3" t="n">
        <x:v>25</x:v>
      </x:c>
      <x:c r="BO35" s="3" t="n">
        <x:v>0</x:v>
      </x:c>
      <x:c r="BP35" s="3" t="n">
        <x:v>24</x:v>
      </x:c>
      <x:c r="BQ35" s="5" t="n">
        <x:v>1271.19641025641</x:v>
      </x:c>
      <x:c r="BR35" s="5" t="n">
        <x:v>34.79874358974359</x:v>
      </x:c>
      <x:c r="BS35" s="5" t="n">
        <x:v>0.02737479693065244</x:v>
      </x:c>
      <x:c r="BT35" s="5" t="n">
        <x:v>2.737479693065244</x:v>
      </x:c>
      <x:c r="BU35" s="5" t="n">
        <x:v>1271.19641025641</x:v>
      </x:c>
      <x:c r="BV35" s="5" t="n">
        <x:v>1271.19641025641</x:v>
      </x:c>
      <x:c r="BW35" s="5" t="n">
        <x:v>2106.366256410256</x:v>
      </x:c>
      <x:c r="BX35" s="5" t="n">
        <x:v>0.535109384470705</x:v>
      </x:c>
    </x:row>
    <x:row r="36">
      <x:c r="A36" s="3" t="n">
        <x:v>10000936</x:v>
      </x:c>
      <x:c r="B36" s="6" t="n">
        <x:v>45315</x:v>
      </x:c>
      <x:c r="C36" s="5" t="n">
        <x:v>57120.1</x:v>
      </x:c>
      <x:c r="D36" s="5" t="n">
        <x:v>18951.1</x:v>
      </x:c>
      <x:c r="E36" s="3" t="n">
        <x:v>16942</x:v>
      </x:c>
      <x:c r="F36" s="3" t="n">
        <x:v>14862</x:v>
      </x:c>
      <x:c r="G36" s="3" t="n">
        <x:v>6365</x:v>
      </x:c>
      <x:c r="H36" s="3" t="n"/>
      <x:c r="I36" s="3" t="n">
        <x:v>168268</x:v>
      </x:c>
      <x:c r="J36" s="5" t="n">
        <x:v>0.007690113390543657</x:v>
      </x:c>
      <x:c r="K36" s="5" t="n">
        <x:v>0.08422278745810255</x:v>
      </x:c>
      <x:c r="L36" s="5" t="n">
        <x:v>0.2486271899588751</x:v>
      </x:c>
      <x:c r="M36" s="5" t="n">
        <x:v>0.452331994199729</x:v>
      </x:c>
      <x:c r="N36" s="5" t="n">
        <x:v>0.133727149547151</x:v>
      </x:c>
      <x:c r="O36" s="5" t="n">
        <x:v>0.07340076544559869</x:v>
      </x:c>
      <x:c r="P36" s="3" t="n">
        <x:v>32</x:v>
      </x:c>
      <x:c r="Q36" s="3" t="n">
        <x:v>4</x:v>
      </x:c>
      <x:c r="R36" s="3" t="n">
        <x:v>2</x:v>
      </x:c>
      <x:c r="S36" s="3" t="n">
        <x:v>14</x:v>
      </x:c>
      <x:c r="T36" s="3" t="n">
        <x:v>1</x:v>
      </x:c>
      <x:c r="U36" s="3" t="n">
        <x:v>4</x:v>
      </x:c>
      <x:c r="V36" s="3" t="n">
        <x:v>7</x:v>
      </x:c>
      <x:c r="W36" s="3" t="n">
        <x:v>0</x:v>
      </x:c>
      <x:c r="X36" s="3" t="n">
        <x:v>0</x:v>
      </x:c>
      <x:c r="Y36" s="3" t="n">
        <x:v>0</x:v>
      </x:c>
      <x:c r="Z36" s="3" t="n">
        <x:v>202401</x:v>
      </x:c>
      <x:c r="AA36" s="5" t="n">
        <x:v>1209.333333333333</x:v>
      </x:c>
      <x:c r="AB36" s="5" t="n">
        <x:v>1707.166666666667</x:v>
      </x:c>
      <x:c r="AC36" s="5" t="n">
        <x:v>1057.333333333333</x:v>
      </x:c>
      <x:c r="AD36" s="5" t="n">
        <x:v>1245.7</x:v>
      </x:c>
      <x:c r="AE36" s="5" t="n">
        <x:v>1117.933333333333</x:v>
      </x:c>
      <x:c r="AF36" s="5" t="n">
        <x:v>1110.833333333333</x:v>
      </x:c>
      <x:c r="AG36" s="5" t="n">
        <x:v>1596.133333333333</x:v>
      </x:c>
      <x:c r="AH36" s="5" t="n">
        <x:v>1740.2</x:v>
      </x:c>
      <x:c r="AI36" s="5" t="n">
        <x:v>1710.1</x:v>
      </x:c>
      <x:c r="AJ36" s="5" t="n">
        <x:v>1396.633333333333</x:v>
      </x:c>
      <x:c r="AK36" s="5" t="n">
        <x:v>1413.766666666667</x:v>
      </x:c>
      <x:c r="AL36" s="5" t="n">
        <x:v>1356.366666666667</x:v>
      </x:c>
      <x:c r="AM36" s="5" t="n">
        <x:v>1370.866666666667</x:v>
      </x:c>
      <x:c r="AN36" s="5" t="n">
        <x:v>1209.333333333333</x:v>
      </x:c>
      <x:c r="AO36" s="5" t="n">
        <x:v>324.8</x:v>
      </x:c>
      <x:c r="AP36" s="5" t="n">
        <x:v>621.4</x:v>
      </x:c>
      <x:c r="AQ36" s="5" t="n">
        <x:v>209.0666666666667</x:v>
      </x:c>
      <x:c r="AR36" s="5" t="n">
        <x:v>49.1</x:v>
      </x:c>
      <x:c r="AS36" s="5" t="n">
        <x:v>3.133333333333333</x:v>
      </x:c>
      <x:c r="AT36" s="5" t="n">
        <x:v>1.833333333333333</x:v>
      </x:c>
      <x:c r="AU36" s="5" t="n">
        <x:v>0.2685777287761852</x:v>
      </x:c>
      <x:c r="AV36" s="5" t="n">
        <x:v>0.5138368246968027</x:v>
      </x:c>
      <x:c r="AW36" s="5" t="n">
        <x:v>0.172877618522602</x:v>
      </x:c>
      <x:c r="AX36" s="5" t="n">
        <x:v>0.04060088202866594</x:v>
      </x:c>
      <x:c r="AY36" s="5" t="n">
        <x:v>0.002590959206174201</x:v>
      </x:c>
      <x:c r="AZ36" s="5" t="n">
        <x:v>0.001515986769570011</x:v>
      </x:c>
      <x:c r="BA36" s="5" t="n">
        <x:v>94.2</x:v>
      </x:c>
      <x:c r="BB36" s="5" t="n">
        <x:v>259.8666666666667</x:v>
      </x:c>
      <x:c r="BC36" s="5" t="n">
        <x:v>384.3333333333333</x:v>
      </x:c>
      <x:c r="BD36" s="5" t="n">
        <x:v>439.8666666666667</x:v>
      </x:c>
      <x:c r="BE36" s="5" t="n">
        <x:v>10.43333333333333</x:v>
      </x:c>
      <x:c r="BF36" s="5" t="n">
        <x:v>20.63333333333333</x:v>
      </x:c>
      <x:c r="BG36" s="5" t="n">
        <x:v>0.0778941565600882</x:v>
      </x:c>
      <x:c r="BH36" s="5" t="n">
        <x:v>0.2148842337375965</x:v>
      </x:c>
      <x:c r="BI36" s="5" t="n">
        <x:v>0.3178059536934951</x:v>
      </x:c>
      <x:c r="BJ36" s="5" t="n">
        <x:v>0.3637265711135612</x:v>
      </x:c>
      <x:c r="BK36" s="5" t="n">
        <x:v>0.008627342888643882</x:v>
      </x:c>
      <x:c r="BL36" s="5" t="n">
        <x:v>0.01706174200661522</x:v>
      </x:c>
      <x:c r="BM36" s="3" t="n">
        <x:v>202401</x:v>
      </x:c>
      <x:c r="BN36" s="3" t="n">
        <x:v>24</x:v>
      </x:c>
      <x:c r="BO36" s="3" t="n">
        <x:v>0</x:v>
      </x:c>
      <x:c r="BP36" s="3" t="n">
        <x:v>23</x:v>
      </x:c>
      <x:c r="BQ36" s="5" t="n">
        <x:v>1273.048666666667</x:v>
      </x:c>
      <x:c r="BR36" s="5" t="n">
        <x:v>26.10047826086953</x:v>
      </x:c>
      <x:c r="BS36" s="5" t="n">
        <x:v>0.02050234130421004</x:v>
      </x:c>
      <x:c r="BT36" s="5" t="n">
        <x:v>2.050234130421003</x:v>
      </x:c>
      <x:c r="BU36" s="5" t="n">
        <x:v>1273.048666666667</x:v>
      </x:c>
      <x:c r="BV36" s="5" t="n">
        <x:v>1273.048666666667</x:v>
      </x:c>
      <x:c r="BW36" s="5" t="n">
        <x:v>1873.359666666667</x:v>
      </x:c>
      <x:c r="BX36" s="5" t="n">
        <x:v>0.3269459038634784</x:v>
      </x:c>
    </x:row>
    <x:row r="37">
      <x:c r="A37" s="3" t="n">
        <x:v>10000957</x:v>
      </x:c>
      <x:c r="B37" s="6" t="n">
        <x:v>45355</x:v>
      </x:c>
      <x:c r="C37" s="5" t="n">
        <x:v>84486.59999999989</x:v>
      </x:c>
      <x:c r="D37" s="5" t="n">
        <x:v>52675.3</x:v>
      </x:c>
      <x:c r="E37" s="5" t="n">
        <x:v>25827.3999999999</x:v>
      </x:c>
      <x:c r="F37" s="5" t="n">
        <x:v>5773.9</x:v>
      </x:c>
      <x:c r="G37" s="3" t="n">
        <x:v>210</x:v>
      </x:c>
      <x:c r="H37" s="3" t="n"/>
      <x:c r="I37" s="3" t="n">
        <x:v>210436</x:v>
      </x:c>
      <x:c r="J37" s="5" t="n">
        <x:v>0.004428899998099185</x:v>
      </x:c>
      <x:c r="K37" s="5" t="n">
        <x:v>0.05392613431161968</x:v>
      </x:c>
      <x:c r="L37" s="5" t="n">
        <x:v>0.1846594689121633</x:v>
      </x:c>
      <x:c r="M37" s="5" t="n">
        <x:v>0.4425668611834477</x:v>
      </x:c>
      <x:c r="N37" s="5" t="n">
        <x:v>0.1943821399380334</x:v>
      </x:c>
      <x:c r="O37" s="5" t="n">
        <x:v>0.1200364956566367</x:v>
      </x:c>
      <x:c r="P37" s="3" t="n">
        <x:v>50</x:v>
      </x:c>
      <x:c r="Q37" s="3" t="n">
        <x:v>7</x:v>
      </x:c>
      <x:c r="R37" s="3" t="n">
        <x:v>3</x:v>
      </x:c>
      <x:c r="S37" s="3" t="n">
        <x:v>24</x:v>
      </x:c>
      <x:c r="T37" s="3" t="n">
        <x:v>6</x:v>
      </x:c>
      <x:c r="U37" s="3" t="n">
        <x:v>6</x:v>
      </x:c>
      <x:c r="V37" s="3" t="n">
        <x:v>4</x:v>
      </x:c>
      <x:c r="W37" s="3" t="n">
        <x:v>0</x:v>
      </x:c>
      <x:c r="X37" s="3" t="n">
        <x:v>2</x:v>
      </x:c>
      <x:c r="Y37" s="3" t="n">
        <x:v>0</x:v>
      </x:c>
      <x:c r="Z37" s="3" t="n">
        <x:v>202403</x:v>
      </x:c>
      <x:c r="AA37" s="5" t="n">
        <x:v>1836.2</x:v>
      </x:c>
      <x:c r="AB37" s="5" t="n">
        <x:v>2066.833333333333</x:v>
      </x:c>
      <x:c r="AC37" s="5" t="n">
        <x:v>1252.433333333333</x:v>
      </x:c>
      <x:c r="AD37" s="5" t="n">
        <x:v>1254.733333333333</x:v>
      </x:c>
      <x:c r="AE37" s="5" t="n">
        <x:v>1378.666666666667</x:v>
      </x:c>
      <x:c r="AF37" s="5" t="n">
        <x:v>1717.633333333333</x:v>
      </x:c>
      <x:c r="AG37" s="5" t="n">
        <x:v>1885.166666666667</x:v>
      </x:c>
      <x:c r="AH37" s="5" t="n">
        <x:v>1837.233333333333</x:v>
      </x:c>
      <x:c r="AI37" s="5" t="n">
        <x:v>1735.9</x:v>
      </x:c>
      <x:c r="AJ37" s="5" t="n">
        <x:v>1730.533333333333</x:v>
      </x:c>
      <x:c r="AK37" s="5" t="n">
        <x:v>1809.9</x:v>
      </x:c>
      <x:c r="AL37" s="5" t="n">
        <x:v>1570.3</x:v>
      </x:c>
      <x:c r="AM37" s="5" t="n">
        <x:v>1624.1</x:v>
      </x:c>
      <x:c r="AN37" s="5" t="n">
        <x:v>1836.2</x:v>
      </x:c>
      <x:c r="AO37" s="5" t="n">
        <x:v>688.2333333333333</x:v>
      </x:c>
      <x:c r="AP37" s="5" t="n">
        <x:v>895.9</x:v>
      </x:c>
      <x:c r="AQ37" s="5" t="n">
        <x:v>209.4</x:v>
      </x:c>
      <x:c r="AR37" s="5" t="n">
        <x:v>37.43333333333333</x:v>
      </x:c>
      <x:c r="AS37" s="5" t="n">
        <x:v>2.7</x:v>
      </x:c>
      <x:c r="AT37" s="5" t="n">
        <x:v>2.533333333333333</x:v>
      </x:c>
      <x:c r="AU37" s="5" t="n">
        <x:v>0.374813927313655</x:v>
      </x:c>
      <x:c r="AV37" s="5" t="n">
        <x:v>0.4879098137457793</x:v>
      </x:c>
      <x:c r="AW37" s="5" t="n">
        <x:v>0.1140398649384599</x:v>
      </x:c>
      <x:c r="AX37" s="5" t="n">
        <x:v>0.02038630505028501</x:v>
      </x:c>
      <x:c r="AY37" s="5" t="n">
        <x:v>0.001470428057945758</x:v>
      </x:c>
      <x:c r="AZ37" s="5" t="n">
        <x:v>0.001379660893875032</x:v>
      </x:c>
      <x:c r="BA37" s="5" t="n">
        <x:v>747.5666666666667</x:v>
      </x:c>
      <x:c r="BB37" s="5" t="n">
        <x:v>561.4</x:v>
      </x:c>
      <x:c r="BC37" s="5" t="n">
        <x:v>438.1666666666667</x:v>
      </x:c>
      <x:c r="BD37" s="5" t="n">
        <x:v>70.63333333333334</x:v>
      </x:c>
      <x:c r="BE37" s="5" t="n">
        <x:v>1.766666666666667</x:v>
      </x:c>
      <x:c r="BF37" s="5" t="n">
        <x:v>16.66666666666667</x:v>
      </x:c>
      <x:c r="BG37" s="5" t="n">
        <x:v>0.4071270377228334</x:v>
      </x:c>
      <x:c r="BH37" s="5" t="n">
        <x:v>0.3057401154558327</x:v>
      </x:c>
      <x:c r="BI37" s="5" t="n">
        <x:v>0.2386268743419381</x:v>
      </x:c>
      <x:c r="BJ37" s="5" t="n">
        <x:v>0.03846712413317359</x:v>
      </x:c>
      <x:c r="BK37" s="5" t="n">
        <x:v>0.0009621319391496932</x:v>
      </x:c>
      <x:c r="BL37" s="5" t="n">
        <x:v>0.009076716407072577</x:v>
      </x:c>
      <x:c r="BM37" s="3" t="n">
        <x:v>202403</x:v>
      </x:c>
      <x:c r="BN37" s="3" t="n">
        <x:v>22</x:v>
      </x:c>
      <x:c r="BO37" s="3" t="n">
        <x:v>0</x:v>
      </x:c>
      <x:c r="BP37" s="3" t="n">
        <x:v>21</x:v>
      </x:c>
      <x:c r="BQ37" s="5" t="n">
        <x:v>1499.35533596838</x:v>
      </x:c>
      <x:c r="BR37" s="5" t="n">
        <x:v>36.68390739695088</x:v>
      </x:c>
      <x:c r="BS37" s="5" t="n">
        <x:v>0.02446645335960875</x:v>
      </x:c>
      <x:c r="BT37" s="5" t="n">
        <x:v>2.446645335960875</x:v>
      </x:c>
      <x:c r="BU37" s="5" t="n">
        <x:v>1499.35533596838</x:v>
      </x:c>
      <x:c r="BV37" s="5" t="n">
        <x:v>1499.35533596838</x:v>
      </x:c>
      <x:c r="BW37" s="5" t="n">
        <x:v>2269.717391304348</x:v>
      </x:c>
      <x:c r="BX37" s="5" t="n">
        <x:v>0.4637908777592825</x:v>
      </x:c>
    </x:row>
    <x:row r="38">
      <x:c r="A38" s="3" t="n">
        <x:v>10000972</x:v>
      </x:c>
      <x:c r="B38" s="6" t="n">
        <x:v>45438</x:v>
      </x:c>
      <x:c r="C38" s="5" t="n">
        <x:v>65613.10000000001</x:v>
      </x:c>
      <x:c r="D38" s="5" t="n">
        <x:v>31105.7</x:v>
      </x:c>
      <x:c r="E38" s="5" t="n">
        <x:v>21191.4</x:v>
      </x:c>
      <x:c r="F38" s="3" t="n">
        <x:v>13120</x:v>
      </x:c>
      <x:c r="G38" s="3" t="n">
        <x:v>196</x:v>
      </x:c>
      <x:c r="H38" s="3" t="n"/>
      <x:c r="I38" s="3" t="n">
        <x:v>230148</x:v>
      </x:c>
      <x:c r="J38" s="5" t="n">
        <x:v>0.003098006500165111</x:v>
      </x:c>
      <x:c r="K38" s="5" t="n">
        <x:v>0.0276952222048421</x:v>
      </x:c>
      <x:c r="L38" s="5" t="n">
        <x:v>0.1208179084762848</x:v>
      </x:c>
      <x:c r="M38" s="5" t="n">
        <x:v>0.4552722595894815</x:v>
      </x:c>
      <x:c r="N38" s="5" t="n">
        <x:v>0.3080452578340894</x:v>
      </x:c>
      <x:c r="O38" s="5" t="n">
        <x:v>0.08507134539513704</x:v>
      </x:c>
      <x:c r="P38" s="3" t="n">
        <x:v>49</x:v>
      </x:c>
      <x:c r="Q38" s="3" t="n">
        <x:v>6</x:v>
      </x:c>
      <x:c r="R38" s="3" t="n">
        <x:v>2</x:v>
      </x:c>
      <x:c r="S38" s="3" t="n">
        <x:v>28</x:v>
      </x:c>
      <x:c r="T38" s="3" t="n">
        <x:v>5</x:v>
      </x:c>
      <x:c r="U38" s="3" t="n">
        <x:v>6</x:v>
      </x:c>
      <x:c r="V38" s="3" t="n">
        <x:v>2</x:v>
      </x:c>
      <x:c r="W38" s="3" t="n">
        <x:v>0</x:v>
      </x:c>
      <x:c r="X38" s="3" t="n">
        <x:v>0</x:v>
      </x:c>
      <x:c r="Y38" s="3" t="n">
        <x:v>0</x:v>
      </x:c>
      <x:c r="Z38" s="3" t="n">
        <x:v>202405</x:v>
      </x:c>
      <x:c r="AA38" s="5" t="n">
        <x:v>1897.866666666667</x:v>
      </x:c>
      <x:c r="AB38" s="5" t="n">
        <x:v>1317.3</x:v>
      </x:c>
      <x:c r="AC38" s="5" t="n">
        <x:v>1305.766666666667</x:v>
      </x:c>
      <x:c r="AD38" s="5" t="n">
        <x:v>1420.366666666667</x:v>
      </x:c>
      <x:c r="AE38" s="5" t="n">
        <x:v>1432.7</x:v>
      </x:c>
      <x:c r="AF38" s="5" t="n">
        <x:v>1272.933333333333</x:v>
      </x:c>
      <x:c r="AG38" s="5" t="n">
        <x:v>1281.4</x:v>
      </x:c>
      <x:c r="AH38" s="5" t="n">
        <x:v>1334.7</x:v>
      </x:c>
      <x:c r="AI38" s="5" t="n">
        <x:v>1279.666666666667</x:v>
      </x:c>
      <x:c r="AJ38" s="5" t="n">
        <x:v>1180.733333333333</x:v>
      </x:c>
      <x:c r="AK38" s="5" t="n">
        <x:v>1443.566666666667</x:v>
      </x:c>
      <x:c r="AL38" s="5" t="n">
        <x:v>1619.566666666667</x:v>
      </x:c>
      <x:c r="AM38" s="5" t="n">
        <x:v>1735.933333333333</x:v>
      </x:c>
      <x:c r="AN38" s="5" t="n">
        <x:v>1897.866666666667</x:v>
      </x:c>
      <x:c r="AO38" s="5" t="n">
        <x:v>961.4</x:v>
      </x:c>
      <x:c r="AP38" s="5" t="n">
        <x:v>793.5333333333333</x:v>
      </x:c>
      <x:c r="AQ38" s="5" t="n">
        <x:v>121.3666666666667</x:v>
      </x:c>
      <x:c r="AR38" s="5" t="n">
        <x:v>18.13333333333333</x:v>
      </x:c>
      <x:c r="AS38" s="5" t="n">
        <x:v>2.466666666666667</x:v>
      </x:c>
      <x:c r="AT38" s="5" t="n">
        <x:v>0.9666666666666667</x:v>
      </x:c>
      <x:c r="AU38" s="5" t="n">
        <x:v>0.5065687789799073</x:v>
      </x:c>
      <x:c r="AV38" s="5" t="n">
        <x:v>0.4181185892932415</x:v>
      </x:c>
      <x:c r="AW38" s="5" t="n">
        <x:v>0.06394899536321484</x:v>
      </x:c>
      <x:c r="AX38" s="5" t="n">
        <x:v>0.00955458760713784</x:v>
      </x:c>
      <x:c r="AY38" s="5" t="n">
        <x:v>0.001299704931853309</x:v>
      </x:c>
      <x:c r="AZ38" s="5" t="n">
        <x:v>0.0005093438246452157</x:v>
      </x:c>
      <x:c r="BA38" s="5" t="n">
        <x:v>302.3333333333333</x:v>
      </x:c>
      <x:c r="BB38" s="5" t="n">
        <x:v>419.6333333333333</x:v>
      </x:c>
      <x:c r="BC38" s="5" t="n">
        <x:v>648.0666666666667</x:v>
      </x:c>
      <x:c r="BD38" s="5" t="n">
        <x:v>404.4</x:v>
      </x:c>
      <x:c r="BE38" s="5" t="n">
        <x:v>88.66666666666667</x:v>
      </x:c>
      <x:c r="BF38" s="5" t="n">
        <x:v>34.76666666666667</x:v>
      </x:c>
      <x:c r="BG38" s="5" t="n">
        <x:v>0.1593016720528312</x:v>
      </x:c>
      <x:c r="BH38" s="5" t="n">
        <x:v>0.2211079106365041</x:v>
      </x:c>
      <x:c r="BI38" s="5" t="n">
        <x:v>0.3414711254742167</x:v>
      </x:c>
      <x:c r="BJ38" s="5" t="n">
        <x:v>0.213081354503302</x:v>
      </x:c>
      <x:c r="BK38" s="5" t="n">
        <x:v>0.04671912322607841</x:v>
      </x:c>
      <x:c r="BL38" s="5" t="n">
        <x:v>0.01831881410706759</x:v>
      </x:c>
      <x:c r="BM38" s="3" t="n">
        <x:v>202405</x:v>
      </x:c>
      <x:c r="BN38" s="3" t="n">
        <x:v>20</x:v>
      </x:c>
      <x:c r="BO38" s="3" t="n">
        <x:v>0</x:v>
      </x:c>
      <x:c r="BP38" s="3" t="n">
        <x:v>19</x:v>
      </x:c>
      <x:c r="BQ38" s="5" t="n">
        <x:v>1219.853333333334</x:v>
      </x:c>
      <x:c r="BR38" s="5" t="n">
        <x:v>39.92719298245613</x:v>
      </x:c>
      <x:c r="BS38" s="5" t="n">
        <x:v>0.03273114225408747</x:v>
      </x:c>
      <x:c r="BT38" s="5" t="n">
        <x:v>3.273114225408747</x:v>
      </x:c>
      <x:c r="BU38" s="5" t="n">
        <x:v>1219.853333333334</x:v>
      </x:c>
      <x:c r="BV38" s="5" t="n">
        <x:v>1219.853333333334</x:v>
      </x:c>
      <x:c r="BW38" s="5" t="n">
        <x:v>1978.47</x:v>
      </x:c>
      <x:c r="BX38" s="5" t="n">
        <x:v>0.5665373764203102</x:v>
      </x:c>
    </x:row>
    <x:row r="39">
      <x:c r="A39" s="3" t="n">
        <x:v>10000990</x:v>
      </x:c>
      <x:c r="B39" s="6" t="n">
        <x:v>45467</x:v>
      </x:c>
      <x:c r="C39" s="5" t="n">
        <x:v>29427.6</x:v>
      </x:c>
      <x:c r="D39" s="5" t="n">
        <x:v>21291.1</x:v>
      </x:c>
      <x:c r="E39" s="5" t="n">
        <x:v>8136.5</x:v>
      </x:c>
      <x:c r="F39" s="3" t="n"/>
      <x:c r="G39" s="3" t="n"/>
      <x:c r="H39" s="3" t="n"/>
      <x:c r="I39" s="3" t="n">
        <x:v>143375</x:v>
      </x:c>
      <x:c r="J39" s="5" t="n">
        <x:v>0.004136006974716652</x:v>
      </x:c>
      <x:c r="K39" s="5" t="n">
        <x:v>0.05175239755884917</x:v>
      </x:c>
      <x:c r="L39" s="5" t="n">
        <x:v>0.187745422842197</x:v>
      </x:c>
      <x:c r="M39" s="5" t="n">
        <x:v>0.4652275501307759</x:v>
      </x:c>
      <x:c r="N39" s="5" t="n">
        <x:v>0.2124289450741064</x:v>
      </x:c>
      <x:c r="O39" s="5" t="n">
        <x:v>0.07870967741935483</x:v>
      </x:c>
      <x:c r="P39" s="3" t="n">
        <x:v>40</x:v>
      </x:c>
      <x:c r="Q39" s="3" t="n">
        <x:v>4</x:v>
      </x:c>
      <x:c r="R39" s="3" t="n">
        <x:v>3</x:v>
      </x:c>
      <x:c r="S39" s="3" t="n">
        <x:v>21</x:v>
      </x:c>
      <x:c r="T39" s="3" t="n">
        <x:v>3</x:v>
      </x:c>
      <x:c r="U39" s="3" t="n">
        <x:v>5</x:v>
      </x:c>
      <x:c r="V39" s="3" t="n">
        <x:v>4</x:v>
      </x:c>
      <x:c r="W39" s="3" t="n">
        <x:v>1</x:v>
      </x:c>
      <x:c r="X39" s="3" t="n">
        <x:v>2</x:v>
      </x:c>
      <x:c r="Y39" s="3" t="n">
        <x:v>1</x:v>
      </x:c>
      <x:c r="Z39" s="3" t="n">
        <x:v>202406</x:v>
      </x:c>
      <x:c r="AA39" s="5" t="n">
        <x:v>2039.7</x:v>
      </x:c>
      <x:c r="AB39" s="5" t="n">
        <x:v>1950.933333333333</x:v>
      </x:c>
      <x:c r="AC39" s="5" t="n">
        <x:v>1393.266666666667</x:v>
      </x:c>
      <x:c r="AD39" s="5" t="n">
        <x:v>1413.766666666667</x:v>
      </x:c>
      <x:c r="AE39" s="5" t="n">
        <x:v>1167.833333333333</x:v>
      </x:c>
      <x:c r="AF39" s="5" t="n">
        <x:v>1148.5</x:v>
      </x:c>
      <x:c r="AG39" s="5" t="n">
        <x:v>1156.766666666667</x:v>
      </x:c>
      <x:c r="AH39" s="5" t="n">
        <x:v>1205.033333333333</x:v>
      </x:c>
      <x:c r="AI39" s="5" t="n">
        <x:v>1078.033333333333</x:v>
      </x:c>
      <x:c r="AJ39" s="5" t="n">
        <x:v>1375.7</x:v>
      </x:c>
      <x:c r="AK39" s="5" t="n">
        <x:v>1526.333333333333</x:v>
      </x:c>
      <x:c r="AL39" s="5" t="n">
        <x:v>1628.066666666667</x:v>
      </x:c>
      <x:c r="AM39" s="5" t="n">
        <x:v>1861.333333333333</x:v>
      </x:c>
      <x:c r="AN39" s="5" t="n">
        <x:v>2039.7</x:v>
      </x:c>
      <x:c r="AO39" s="5" t="n">
        <x:v>726.6666666666666</x:v>
      </x:c>
      <x:c r="AP39" s="5" t="n">
        <x:v>957.3666666666667</x:v>
      </x:c>
      <x:c r="AQ39" s="5" t="n">
        <x:v>286.3</x:v>
      </x:c>
      <x:c r="AR39" s="5" t="n">
        <x:v>62.9</x:v>
      </x:c>
      <x:c r="AS39" s="5" t="n">
        <x:v>5.4</x:v>
      </x:c>
      <x:c r="AT39" s="5" t="n">
        <x:v>1.066666666666667</x:v>
      </x:c>
      <x:c r="AU39" s="5" t="n">
        <x:v>0.356261541729993</x:v>
      </x:c>
      <x:c r="AV39" s="5" t="n">
        <x:v>0.4693664100929875</x:v>
      </x:c>
      <x:c r="AW39" s="5" t="n">
        <x:v>0.1403637789871059</x:v>
      </x:c>
      <x:c r="AX39" s="5" t="n">
        <x:v>0.03083786831396774</x:v>
      </x:c>
      <x:c r="AY39" s="5" t="n">
        <x:v>0.002647448154140315</x:v>
      </x:c>
      <x:c r="AZ39" s="5" t="n">
        <x:v>0.0005229527218054942</x:v>
      </x:c>
      <x:c r="BA39" s="5" t="n">
        <x:v>707.1666666666666</x:v>
      </x:c>
      <x:c r="BB39" s="5" t="n">
        <x:v>586.1666666666666</x:v>
      </x:c>
      <x:c r="BC39" s="5" t="n">
        <x:v>451.9</x:v>
      </x:c>
      <x:c r="BD39" s="5" t="n">
        <x:v>204.7333333333333</x:v>
      </x:c>
      <x:c r="BE39" s="5" t="n">
        <x:v>44.46666666666667</x:v>
      </x:c>
      <x:c r="BF39" s="5" t="n">
        <x:v>45.26666666666667</x:v>
      </x:c>
      <x:c r="BG39" s="5" t="n">
        <x:v>0.3467013122844863</x:v>
      </x:c>
      <x:c r="BH39" s="5" t="n">
        <x:v>0.2873788629046755</x:v>
      </x:c>
      <x:c r="BI39" s="5" t="n">
        <x:v>0.2215521890474089</x:v>
      </x:c>
      <x:c r="BJ39" s="5" t="n">
        <x:v>0.1003742380415421</x:v>
      </x:c>
      <x:c r="BK39" s="5" t="n">
        <x:v>0.02180059159026654</x:v>
      </x:c>
      <x:c r="BL39" s="5" t="n">
        <x:v>0.02219280613162066</x:v>
      </x:c>
      <x:c r="BM39" s="3" t="n">
        <x:v>202406</x:v>
      </x:c>
      <x:c r="BN39" s="3" t="n">
        <x:v>19</x:v>
      </x:c>
      <x:c r="BO39" s="3" t="n">
        <x:v>0</x:v>
      </x:c>
      <x:c r="BP39" s="3" t="n">
        <x:v>18</x:v>
      </x:c>
      <x:c r="BQ39" s="5" t="n">
        <x:v>1258.342807017544</x:v>
      </x:c>
      <x:c r="BR39" s="5" t="n">
        <x:v>39.01649122807014</x:v>
      </x:c>
      <x:c r="BS39" s="5" t="n">
        <x:v>0.03100624965667735</x:v>
      </x:c>
      <x:c r="BT39" s="5" t="n">
        <x:v>3.100624965667735</x:v>
      </x:c>
      <x:c r="BU39" s="5" t="n">
        <x:v>1258.342807017544</x:v>
      </x:c>
      <x:c r="BV39" s="5" t="n">
        <x:v>1258.342807017544</x:v>
      </x:c>
      <x:c r="BW39" s="5" t="n">
        <x:v>1960.639649122807</x:v>
      </x:c>
      <x:c r="BX39" s="5" t="n">
        <x:v>0.3578003864634156</x:v>
      </x:c>
    </x:row>
    <x:row r="40">
      <x:c r="A40" s="3" t="n">
        <x:v>10001038</x:v>
      </x:c>
      <x:c r="B40" s="6" t="n">
        <x:v>45592</x:v>
      </x:c>
      <x:c r="C40" s="5" t="n">
        <x:v>50905.2</x:v>
      </x:c>
      <x:c r="D40" s="3" t="n">
        <x:v>7078</x:v>
      </x:c>
      <x:c r="E40" s="5" t="n">
        <x:v>27908.1</x:v>
      </x:c>
      <x:c r="F40" s="5" t="n">
        <x:v>10362.1</x:v>
      </x:c>
      <x:c r="G40" s="3" t="n">
        <x:v>5557</x:v>
      </x:c>
      <x:c r="H40" s="3" t="n"/>
      <x:c r="I40" s="3" t="n">
        <x:v>156202</x:v>
      </x:c>
      <x:c r="J40" s="5" t="n">
        <x:v>0.01043520569518956</x:v>
      </x:c>
      <x:c r="K40" s="5" t="n">
        <x:v>0.09213070255182391</x:v>
      </x:c>
      <x:c r="L40" s="5" t="n">
        <x:v>0.2493566023482414</x:v>
      </x:c>
      <x:c r="M40" s="5" t="n">
        <x:v>0.4329714088167885</x:v>
      </x:c>
      <x:c r="N40" s="5" t="n">
        <x:v>0.1391595498137028</x:v>
      </x:c>
      <x:c r="O40" s="5" t="n">
        <x:v>0.07594653077425385</x:v>
      </x:c>
      <x:c r="P40" s="3" t="n">
        <x:v>36</x:v>
      </x:c>
      <x:c r="Q40" s="3" t="n">
        <x:v>4</x:v>
      </x:c>
      <x:c r="R40" s="3" t="n">
        <x:v>4</x:v>
      </x:c>
      <x:c r="S40" s="3" t="n">
        <x:v>14</x:v>
      </x:c>
      <x:c r="T40" s="3" t="n">
        <x:v>4</x:v>
      </x:c>
      <x:c r="U40" s="3" t="n">
        <x:v>8</x:v>
      </x:c>
      <x:c r="V40" s="3" t="n">
        <x:v>2</x:v>
      </x:c>
      <x:c r="W40" s="3" t="n">
        <x:v>1</x:v>
      </x:c>
      <x:c r="X40" s="3" t="n">
        <x:v>3</x:v>
      </x:c>
      <x:c r="Y40" s="3" t="n">
        <x:v>0</x:v>
      </x:c>
      <x:c r="Z40" s="3" t="n">
        <x:v>202410</x:v>
      </x:c>
      <x:c r="AA40" s="5" t="n">
        <x:v>1252.6</x:v>
      </x:c>
      <x:c r="AB40" s="5" t="n">
        <x:v>981.3</x:v>
      </x:c>
      <x:c r="AC40" s="5" t="n">
        <x:v>905.3666666666667</x:v>
      </x:c>
      <x:c r="AD40" s="5" t="n">
        <x:v>849.9666666666667</x:v>
      </x:c>
      <x:c r="AE40" s="5" t="n">
        <x:v>816.1666666666666</x:v>
      </x:c>
      <x:c r="AF40" s="3" t="n">
        <x:v>906</x:v>
      </x:c>
      <x:c r="AG40" s="5" t="n">
        <x:v>991.8333333333334</x:v>
      </x:c>
      <x:c r="AH40" s="5" t="n">
        <x:v>1083.266666666667</x:v>
      </x:c>
      <x:c r="AI40" s="5" t="n">
        <x:v>1222.266666666667</x:v>
      </x:c>
      <x:c r="AJ40" s="5" t="n">
        <x:v>1310.066666666667</x:v>
      </x:c>
      <x:c r="AK40" s="5" t="n">
        <x:v>1349.066666666667</x:v>
      </x:c>
      <x:c r="AL40" s="5" t="n">
        <x:v>1436.8</x:v>
      </x:c>
      <x:c r="AM40" s="5" t="n">
        <x:v>1298.833333333333</x:v>
      </x:c>
      <x:c r="AN40" s="5" t="n">
        <x:v>1252.6</x:v>
      </x:c>
      <x:c r="AO40" s="5" t="n">
        <x:v>344.8333333333333</x:v>
      </x:c>
      <x:c r="AP40" s="5" t="n">
        <x:v>647.0666666666667</x:v>
      </x:c>
      <x:c r="AQ40" s="5" t="n">
        <x:v>203.8</x:v>
      </x:c>
      <x:c r="AR40" s="5" t="n">
        <x:v>50.66666666666666</x:v>
      </x:c>
      <x:c r="AS40" s="5" t="n">
        <x:v>2.833333333333333</x:v>
      </x:c>
      <x:c r="AT40" s="5" t="n">
        <x:v>3.4</x:v>
      </x:c>
      <x:c r="AU40" s="5" t="n">
        <x:v>0.2752940550321997</x:v>
      </x:c>
      <x:c r="AV40" s="5" t="n">
        <x:v>0.5165788493267338</x:v>
      </x:c>
      <x:c r="AW40" s="5" t="n">
        <x:v>0.1627015807121188</x:v>
      </x:c>
      <x:c r="AX40" s="5" t="n">
        <x:v>0.04044919899941455</x:v>
      </x:c>
      <x:c r="AY40" s="5" t="n">
        <x:v>0.002261961786151472</x:v>
      </x:c>
      <x:c r="AZ40" s="5" t="n">
        <x:v>0.002714354143381766</x:v>
      </x:c>
      <x:c r="BA40" s="5" t="n">
        <x:v>103.1</x:v>
      </x:c>
      <x:c r="BB40" s="5" t="n">
        <x:v>211.8</x:v>
      </x:c>
      <x:c r="BC40" s="5" t="n">
        <x:v>346.3333333333333</x:v>
      </x:c>
      <x:c r="BD40" s="5" t="n">
        <x:v>534.2666666666667</x:v>
      </x:c>
      <x:c r="BE40" s="5" t="n">
        <x:v>11.26666666666667</x:v>
      </x:c>
      <x:c r="BF40" s="5" t="n">
        <x:v>45.83333333333334</x:v>
      </x:c>
      <x:c r="BG40" s="5" t="n">
        <x:v>0.08230879770078238</x:v>
      </x:c>
      <x:c r="BH40" s="5" t="n">
        <x:v>0.1690882963436053</x:v>
      </x:c>
      <x:c r="BI40" s="5" t="n">
        <x:v>0.2764915642131034</x:v>
      </x:c>
      <x:c r="BJ40" s="5" t="n">
        <x:v>0.426526158922774</x:v>
      </x:c>
      <x:c r="BK40" s="5" t="n">
        <x:v>0.0089946245143435</x:v>
      </x:c>
      <x:c r="BL40" s="5" t="n">
        <x:v>0.03659055830539146</x:v>
      </x:c>
      <x:c r="BM40" s="3" t="n">
        <x:v>202410</x:v>
      </x:c>
      <x:c r="BN40" s="3" t="n">
        <x:v>15</x:v>
      </x:c>
      <x:c r="BO40" s="3" t="n">
        <x:v>0</x:v>
      </x:c>
      <x:c r="BP40" s="3" t="n">
        <x:v>14</x:v>
      </x:c>
      <x:c r="BQ40" s="5" t="n">
        <x:v>864.6797222222219</x:v>
      </x:c>
      <x:c r="BR40" s="5" t="n">
        <x:v>37.60797619047621</x:v>
      </x:c>
      <x:c r="BS40" s="5" t="n">
        <x:v>0.04349353318223299</x:v>
      </x:c>
      <x:c r="BT40" s="5" t="n">
        <x:v>4.349353318223299</x:v>
      </x:c>
      <x:c r="BU40" s="5" t="n">
        <x:v>864.6797222222219</x:v>
      </x:c>
      <x:c r="BV40" s="5" t="n">
        <x:v>864.6797222222219</x:v>
      </x:c>
      <x:c r="BW40" s="5" t="n">
        <x:v>1391.191388888889</x:v>
      </x:c>
      <x:c r="BX40" s="5" t="n">
        <x:v>0.6826547323992564</x:v>
      </x:c>
    </x:row>
    <x:row r="41">
      <x:c r="A41" s="3" t="n">
        <x:v>10001088</x:v>
      </x:c>
      <x:c r="B41" s="6" t="n">
        <x:v>45656</x:v>
      </x:c>
      <x:c r="C41" s="5" t="n">
        <x:v>35268.6</x:v>
      </x:c>
      <x:c r="D41" s="5" t="n">
        <x:v>19425.7</x:v>
      </x:c>
      <x:c r="E41" s="3" t="n">
        <x:v>6599</x:v>
      </x:c>
      <x:c r="F41" s="5" t="n">
        <x:v>6531.9</x:v>
      </x:c>
      <x:c r="G41" s="3" t="n">
        <x:v>2712</x:v>
      </x:c>
      <x:c r="H41" s="3" t="n"/>
      <x:c r="I41" s="3" t="n">
        <x:v>133786</x:v>
      </x:c>
      <x:c r="J41" s="5" t="n">
        <x:v>0.008954599135933506</x:v>
      </x:c>
      <x:c r="K41" s="5" t="n">
        <x:v>0.05430314083685887</x:v>
      </x:c>
      <x:c r="L41" s="5" t="n">
        <x:v>0.1994229590540116</x:v>
      </x:c>
      <x:c r="M41" s="5" t="n">
        <x:v>0.4949097812925119</x:v>
      </x:c>
      <x:c r="N41" s="5" t="n">
        <x:v>0.1747342771291465</x:v>
      </x:c>
      <x:c r="O41" s="5" t="n">
        <x:v>0.06767524255153753</x:v>
      </x:c>
      <x:c r="P41" s="3" t="n">
        <x:v>14</x:v>
      </x:c>
      <x:c r="Q41" s="3" t="n">
        <x:v>1</x:v>
      </x:c>
      <x:c r="R41" s="3" t="n">
        <x:v>0</x:v>
      </x:c>
      <x:c r="S41" s="3" t="n">
        <x:v>6</x:v>
      </x:c>
      <x:c r="T41" s="3" t="n">
        <x:v>3</x:v>
      </x:c>
      <x:c r="U41" s="3" t="n">
        <x:v>2</x:v>
      </x:c>
      <x:c r="V41" s="3" t="n">
        <x:v>2</x:v>
      </x:c>
      <x:c r="W41" s="3" t="n">
        <x:v>0</x:v>
      </x:c>
      <x:c r="X41" s="3" t="n">
        <x:v>1</x:v>
      </x:c>
      <x:c r="Y41" s="3" t="n">
        <x:v>0</x:v>
      </x:c>
      <x:c r="Z41" s="3" t="n">
        <x:v>202412</x:v>
      </x:c>
      <x:c r="AA41" s="3" t="n"/>
      <x:c r="AB41" s="5" t="n">
        <x:v>1232.566666666667</x:v>
      </x:c>
      <x:c r="AC41" s="5" t="n">
        <x:v>1384.2</x:v>
      </x:c>
      <x:c r="AD41" s="5" t="n">
        <x:v>1638.5</x:v>
      </x:c>
      <x:c r="AE41" s="3" t="n">
        <x:v>1804</x:v>
      </x:c>
      <x:c r="AF41" s="5" t="n">
        <x:v>1964.266666666667</x:v>
      </x:c>
      <x:c r="AG41" s="5" t="n">
        <x:v>2099.8</x:v>
      </x:c>
      <x:c r="AH41" s="5" t="n">
        <x:v>2266.933333333333</x:v>
      </x:c>
      <x:c r="AI41" s="5" t="n">
        <x:v>2281.933333333333</x:v>
      </x:c>
      <x:c r="AJ41" s="5" t="n">
        <x:v>2202.166666666667</x:v>
      </x:c>
      <x:c r="AK41" s="3" t="n">
        <x:v>1912</x:v>
      </x:c>
      <x:c r="AL41" s="5" t="n">
        <x:v>1887.433333333333</x:v>
      </x:c>
      <x:c r="AM41" s="5" t="n">
        <x:v>1781.833333333333</x:v>
      </x:c>
      <x:c r="AN41" s="3" t="n"/>
      <x:c r="AO41" s="3" t="n"/>
      <x:c r="AP41" s="3" t="n"/>
      <x:c r="AQ41" s="3" t="n"/>
      <x:c r="AR41" s="3" t="n"/>
      <x:c r="AS41" s="3" t="n"/>
      <x:c r="AT41" s="3" t="n"/>
      <x:c r="AU41" s="3" t="n"/>
      <x:c r="AV41" s="3" t="n"/>
      <x:c r="AW41" s="3" t="n"/>
      <x:c r="AX41" s="3" t="n"/>
      <x:c r="AY41" s="3" t="n"/>
      <x:c r="AZ41" s="3" t="n"/>
      <x:c r="BA41" s="3" t="n"/>
      <x:c r="BB41" s="3" t="n"/>
      <x:c r="BC41" s="3" t="n"/>
      <x:c r="BD41" s="3" t="n"/>
      <x:c r="BE41" s="3" t="n"/>
      <x:c r="BF41" s="3" t="n"/>
      <x:c r="BG41" s="3" t="n"/>
      <x:c r="BH41" s="3" t="n"/>
      <x:c r="BI41" s="3" t="n"/>
      <x:c r="BJ41" s="3" t="n"/>
      <x:c r="BK41" s="3" t="n"/>
      <x:c r="BL41" s="3" t="n"/>
      <x:c r="BM41" s="3" t="n">
        <x:v>202412</x:v>
      </x:c>
      <x:c r="BN41" s="3" t="n">
        <x:v>12</x:v>
      </x:c>
      <x:c r="BO41" s="3" t="n">
        <x:v>0</x:v>
      </x:c>
      <x:c r="BP41" s="3" t="n">
        <x:v>11</x:v>
      </x:c>
      <x:c r="BQ41" s="5" t="n">
        <x:v>1571.370085470085</x:v>
      </x:c>
      <x:c r="BR41" s="5" t="n">
        <x:v>54.5332167832168</x:v>
      </x:c>
      <x:c r="BS41" s="5" t="n">
        <x:v>0.03470424776917071</x:v>
      </x:c>
      <x:c r="BT41" s="5" t="n">
        <x:v>3.470424776917072</x:v>
      </x:c>
      <x:c r="BU41" s="5" t="n">
        <x:v>1571.370085470085</x:v>
      </x:c>
      <x:c r="BV41" s="5" t="n">
        <x:v>1571.370085470085</x:v>
      </x:c>
      <x:c r="BW41" s="5" t="n">
        <x:v>2171.23547008547</x:v>
      </x:c>
      <x:c r="BX41" s="5" t="n">
        <x:v>0.3516417760973255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2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3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22" customWidth="1"/>
    <x:col min="26" max="26" width="22" customWidth="1"/>
    <x:col min="27" max="27" width="12" customWidth="1"/>
    <x:col min="28" max="28" width="13" customWidth="1"/>
    <x:col min="29" max="29" width="12" customWidth="1"/>
    <x:col min="30" max="30" width="18" customWidth="1"/>
    <x:col min="31" max="31" width="12" customWidth="1"/>
    <x:col min="32" max="32" width="12" customWidth="1"/>
    <x:col min="33" max="33" width="12" customWidth="1"/>
    <x:col min="34" max="34" width="18" customWidth="1"/>
    <x:col min="35" max="35" width="12" customWidth="1"/>
    <x:col min="36" max="36" width="15" customWidth="1"/>
    <x:col min="37" max="37" width="15" customWidth="1"/>
    <x:col min="38" max="38" width="15" customWidth="1"/>
    <x:col min="39" max="39" width="15" customWidth="1"/>
  </x:cols>
  <x:sheetData>
    <x:row r="1">
      <x:c r="A1" s="7" t="inlineStr">
        <x:is>
          <x:t xml:space="preserve">建模底表说明：本表基于 R2≥0.3 的40个站点整理；黑色列为公式衍生变量，绿色列为从“合并底表_连接增长率”导入的原始字段。</x:t>
        </x:is>
      </x:c>
    </x:row>
    <x:row r="3">
      <x:c r="A3" s="8" t="inlineStr">
        <x:is>
          <x:t xml:space="preserve">站点ID</x:t>
        </x:is>
      </x:c>
      <x:c r="B3" s="8" t="inlineStr">
        <x:is>
          <x:t xml:space="preserve">开站日期</x:t>
        </x:is>
      </x:c>
      <x:c r="C3" s="8" t="inlineStr">
        <x:is>
          <x:t xml:space="preserve">M12_日均单量</x:t>
        </x:is>
      </x:c>
      <x:c r="D3" s="8" t="inlineStr">
        <x:is>
          <x:t xml:space="preserve">覆盖户数_合计</x:t>
        </x:is>
      </x:c>
      <x:c r="E3" s="8" t="inlineStr">
        <x:is>
          <x:t xml:space="preserve">覆盖户数_0~1.5km</x:t>
        </x:is>
      </x:c>
      <x:c r="F3" s="8" t="inlineStr">
        <x:is>
          <x:t xml:space="preserve">覆盖户数_1.5~2.1km</x:t>
        </x:is>
      </x:c>
      <x:c r="G3" s="8" t="inlineStr">
        <x:is>
          <x:t xml:space="preserve">覆盖户数_2.1~2.8km</x:t>
        </x:is>
      </x:c>
      <x:c r="H3" s="8" t="inlineStr">
        <x:is>
          <x:t xml:space="preserve">覆盖户数_2.8~3.8km</x:t>
        </x:is>
      </x:c>
      <x:c r="I3" s="8" t="inlineStr">
        <x:is>
          <x:t xml:space="preserve">覆盖户数_3.8km+</x:t>
        </x:is>
      </x:c>
      <x:c r="J3" s="8" t="inlineStr">
        <x:is>
          <x:t xml:space="preserve">美团月活</x:t>
        </x:is>
      </x:c>
      <x:c r="K3" s="8" t="inlineStr">
        <x:is>
          <x:t xml:space="preserve">月活L1占比</x:t>
        </x:is>
      </x:c>
      <x:c r="L3" s="8" t="inlineStr">
        <x:is>
          <x:t xml:space="preserve">月活L2占比</x:t>
        </x:is>
      </x:c>
      <x:c r="M3" s="8" t="inlineStr">
        <x:is>
          <x:t xml:space="preserve">月活L3占比</x:t>
        </x:is>
      </x:c>
      <x:c r="N3" s="8" t="inlineStr">
        <x:is>
          <x:t xml:space="preserve">月活L4占比</x:t>
        </x:is>
      </x:c>
      <x:c r="O3" s="8" t="inlineStr">
        <x:is>
          <x:t xml:space="preserve">月活L5占比</x:t>
        </x:is>
      </x:c>
      <x:c r="P3" s="8" t="inlineStr">
        <x:is>
          <x:t xml:space="preserve">中大商超_仓储会员店数</x:t>
        </x:is>
      </x:c>
      <x:c r="Q3" s="8" t="inlineStr">
        <x:is>
          <x:t xml:space="preserve">硬折扣超市数</x:t>
        </x:is>
      </x:c>
      <x:c r="R3" s="8" t="inlineStr">
        <x:is>
          <x:t xml:space="preserve">非生鲜食杂小店数</x:t>
        </x:is>
      </x:c>
      <x:c r="S3" s="8" t="inlineStr">
        <x:is>
          <x:t xml:space="preserve">农贸市场数</x:t>
        </x:is>
      </x:c>
      <x:c r="T3" s="8" t="inlineStr">
        <x:is>
          <x:t xml:space="preserve">社区超市数</x:t>
        </x:is>
      </x:c>
      <x:c r="U3" s="8" t="inlineStr">
        <x:is>
          <x:t xml:space="preserve">生鲜小店数</x:t>
        </x:is>
      </x:c>
      <x:c r="V3" s="8" t="inlineStr">
        <x:is>
          <x:t xml:space="preserve">SAM站数</x:t>
        </x:is>
      </x:c>
      <x:c r="W3" s="8" t="inlineStr">
        <x:is>
          <x:t xml:space="preserve">叮咚买菜站数</x:t>
        </x:is>
      </x:c>
      <x:c r="X3" s="8" t="inlineStr">
        <x:is>
          <x:t xml:space="preserve">盒马鲜生站数</x:t>
        </x:is>
      </x:c>
      <x:c r="Y3" s="8" t="inlineStr">
        <x:is>
          <x:t xml:space="preserve">回归斜率_每增加1个站龄月日均单量增加值</x:t>
        </x:is>
      </x:c>
      <x:c r="Z3" s="8" t="inlineStr">
        <x:is>
          <x:t xml:space="preserve">相对月增长率_按预测M0口径</x:t>
        </x:is>
      </x:c>
      <x:c r="AA3" s="8" t="inlineStr">
        <x:is>
          <x:t xml:space="preserve">R2</x:t>
        </x:is>
      </x:c>
      <x:c r="AB3" s="8" t="inlineStr">
        <x:is>
          <x:t xml:space="preserve">y_log1p_M12</x:t>
        </x:is>
      </x:c>
      <x:c r="AC3" s="8" t="inlineStr">
        <x:is>
          <x:t xml:space="preserve">2.1km以上户数</x:t>
        </x:is>
      </x:c>
      <x:c r="AD3" s="8" t="inlineStr">
        <x:is>
          <x:t xml:space="preserve">高等级月活人数</x:t>
        </x:is>
      </x:c>
      <x:c r="AE3" s="8" t="inlineStr">
        <x:is>
          <x:t xml:space="preserve">即时零售竞对数</x:t>
        </x:is>
      </x:c>
      <x:c r="AF3" s="8" t="inlineStr">
        <x:is>
          <x:t xml:space="preserve">传统替代渠道数</x:t>
        </x:is>
      </x:c>
      <x:c r="AG3" s="8" t="inlineStr">
        <x:is>
          <x:t xml:space="preserve">全部竞争供给</x:t>
        </x:is>
      </x:c>
      <x:c r="AH3" s="8" t="inlineStr">
        <x:is>
          <x:t xml:space="preserve">距离加权覆盖户数</x:t>
        </x:is>
      </x:c>
      <x:c r="AI3" s="8" t="inlineStr">
        <x:is>
          <x:t xml:space="preserve">竞争密度</x:t>
        </x:is>
      </x:c>
      <x:c r="AJ3" s="8" t="inlineStr">
        <x:is>
          <x:t xml:space="preserve">同质竞对占比</x:t>
        </x:is>
      </x:c>
      <x:c r="AK3" s="8" t="inlineStr">
        <x:is>
          <x:t xml:space="preserve">近场户数占比</x:t>
        </x:is>
      </x:c>
      <x:c r="AL3" s="8" t="inlineStr">
        <x:is>
          <x:t xml:space="preserve">中场户数占比</x:t>
        </x:is>
      </x:c>
      <x:c r="AM3" s="8" t="inlineStr">
        <x:is>
          <x:t xml:space="preserve">远场户数占比</x:t>
        </x:is>
      </x:c>
    </x:row>
    <x:row r="4">
      <x:c r="A4" s="9" t="n">
        <x:v>10000688</x:v>
      </x:c>
      <x:c r="B4" s="10" t="n">
        <x:v>45038</x:v>
      </x:c>
      <x:c r="C4" s="9" t="n">
        <x:v>1492.766666666667</x:v>
      </x:c>
      <x:c r="D4" s="9" t="n">
        <x:v>31818.2</x:v>
      </x:c>
      <x:c r="E4" s="9" t="n">
        <x:v>28682.6</x:v>
      </x:c>
      <x:c r="F4" s="9" t="n">
        <x:v>3135.6</x:v>
      </x:c>
      <x:c r="G4" s="9" t="n"/>
      <x:c r="H4" s="9" t="n"/>
      <x:c r="I4" s="9" t="n"/>
      <x:c r="J4" s="9" t="n">
        <x:v>139062</x:v>
      </x:c>
      <x:c r="K4" s="11" t="n">
        <x:v>0.005522716486171635</x:v>
      </x:c>
      <x:c r="L4" s="11" t="n">
        <x:v>0.05449367907839669</x:v>
      </x:c>
      <x:c r="M4" s="11" t="n">
        <x:v>0.1894478721721247</x:v>
      </x:c>
      <x:c r="N4" s="11" t="n">
        <x:v>0.4608448030374941</x:v>
      </x:c>
      <x:c r="O4" s="11" t="n">
        <x:v>0.1960132890365449</x:v>
      </x:c>
      <x:c r="P4" s="9" t="n">
        <x:v>6</x:v>
      </x:c>
      <x:c r="Q4" s="9" t="n">
        <x:v>0</x:v>
      </x:c>
      <x:c r="R4" s="9" t="n">
        <x:v>21</x:v>
      </x:c>
      <x:c r="S4" s="9" t="n">
        <x:v>8</x:v>
      </x:c>
      <x:c r="T4" s="9" t="n">
        <x:v>6</x:v>
      </x:c>
      <x:c r="U4" s="9" t="n">
        <x:v>1</x:v>
      </x:c>
      <x:c r="V4" s="9" t="n">
        <x:v>0</x:v>
      </x:c>
      <x:c r="W4" s="9" t="n">
        <x:v>1</x:v>
      </x:c>
      <x:c r="X4" s="9" t="n">
        <x:v>0</x:v>
      </x:c>
      <x:c r="Y4" s="9" t="n">
        <x:v>15.00446746880568</x:v>
      </x:c>
      <x:c r="Z4" s="11" t="n">
        <x:v>0.0110042931418629</x:v>
      </x:c>
      <x:c r="AA4" s="11" t="n">
        <x:v>0.3780834310942728</x:v>
      </x:c>
      <x:c r="AB4" s="12">
        <x:f>LN(C4+1)</x:f>
        <x:v>7.309056173218691</x:v>
      </x:c>
      <x:c r="AC4" s="12">
        <x:f>G4+H4+I4</x:f>
        <x:v>0</x:v>
      </x:c>
      <x:c r="AD4" s="12">
        <x:f>J4*(N4+O4)</x:f>
        <x:v>91344.00000000001</x:v>
      </x:c>
      <x:c r="AE4" s="12">
        <x:f>V4+W4+X4</x:f>
        <x:v>1</x:v>
      </x:c>
      <x:c r="AF4" s="12">
        <x:f>P4+Q4+R4+S4+T4+U4</x:f>
        <x:v>42</x:v>
      </x:c>
      <x:c r="AG4" s="12">
        <x:f>AE4+AF4</x:f>
        <x:v>43</x:v>
      </x:c>
      <x:c r="AH4" s="12">
        <x:f>E4*1+F4*0.7+G4*0.4+H4*0.1+I4*0.1</x:f>
        <x:v>30877.519999999997</x:v>
      </x:c>
      <x:c r="AI4" s="12">
        <x:f>IFERROR(AE4/D4,"")</x:f>
        <x:v>0.000031428553469398016</x:v>
      </x:c>
      <x:c r="AJ4" s="13">
        <x:f>IFERROR(AE4/AG4,"")</x:f>
        <x:v>0.023255813953488372</x:v>
      </x:c>
      <x:c r="AK4" s="13">
        <x:f>IFERROR(E4/D4,"")</x:f>
        <x:v>0.9014526277413555</x:v>
      </x:c>
      <x:c r="AL4" s="13">
        <x:f>IFERROR((F4+G4)/D4,"")</x:f>
        <x:v>0.09854737225864442</x:v>
      </x:c>
      <x:c r="AM4" s="13">
        <x:f>IFERROR((H4+I4)/D4,"")</x:f>
        <x:v>0</x:v>
      </x:c>
    </x:row>
    <x:row r="5">
      <x:c r="A5" s="9" t="n">
        <x:v>10000691</x:v>
      </x:c>
      <x:c r="B5" s="10" t="n">
        <x:v>45044</x:v>
      </x:c>
      <x:c r="C5" s="9" t="n">
        <x:v>1149.3</x:v>
      </x:c>
      <x:c r="D5" s="9" t="n">
        <x:v>49139.5</x:v>
      </x:c>
      <x:c r="E5" s="9" t="n">
        <x:v>40674.3</x:v>
      </x:c>
      <x:c r="F5" s="9" t="n">
        <x:v>8465.200000000001</x:v>
      </x:c>
      <x:c r="G5" s="9" t="n"/>
      <x:c r="H5" s="9" t="n"/>
      <x:c r="I5" s="9" t="n"/>
      <x:c r="J5" s="9" t="n">
        <x:v>115490</x:v>
      </x:c>
      <x:c r="K5" s="11" t="n">
        <x:v>0.002363841025196987</x:v>
      </x:c>
      <x:c r="L5" s="11" t="n">
        <x:v>0.02853926746904494</x:v>
      </x:c>
      <x:c r="M5" s="11" t="n">
        <x:v>0.1365399601697117</x:v>
      </x:c>
      <x:c r="N5" s="11" t="n">
        <x:v>0.4753485150229457</x:v>
      </x:c>
      <x:c r="O5" s="11" t="n">
        <x:v>0.2727941813143995</x:v>
      </x:c>
      <x:c r="P5" s="9" t="n">
        <x:v>4</x:v>
      </x:c>
      <x:c r="Q5" s="9" t="n">
        <x:v>1</x:v>
      </x:c>
      <x:c r="R5" s="9" t="n">
        <x:v>18</x:v>
      </x:c>
      <x:c r="S5" s="9" t="n">
        <x:v>4</x:v>
      </x:c>
      <x:c r="T5" s="9" t="n">
        <x:v>8</x:v>
      </x:c>
      <x:c r="U5" s="9" t="n">
        <x:v>3</x:v>
      </x:c>
      <x:c r="V5" s="9" t="n">
        <x:v>0</x:v>
      </x:c>
      <x:c r="W5" s="9" t="n">
        <x:v>1</x:v>
      </x:c>
      <x:c r="X5" s="9" t="n">
        <x:v>0</x:v>
      </x:c>
      <x:c r="Y5" s="9" t="n">
        <x:v>26.75809937611408</x:v>
      </x:c>
      <x:c r="Z5" s="11" t="n">
        <x:v>0.02595024197681966</x:v>
      </x:c>
      <x:c r="AA5" s="11" t="n">
        <x:v>0.6125808524246308</x:v>
      </x:c>
      <x:c r="AB5" s="12">
        <x:f>LN(C5+1)</x:f>
        <x:v>7.047778056901964</x:v>
      </x:c>
      <x:c r="AC5" s="12">
        <x:f>G5+H5+I5</x:f>
        <x:v>0</x:v>
      </x:c>
      <x:c r="AD5" s="12">
        <x:f>J5*(N5+O5)</x:f>
        <x:v>86403</x:v>
      </x:c>
      <x:c r="AE5" s="12">
        <x:f>V5+W5+X5</x:f>
        <x:v>1</x:v>
      </x:c>
      <x:c r="AF5" s="12">
        <x:f>P5+Q5+R5+S5+T5+U5</x:f>
        <x:v>38</x:v>
      </x:c>
      <x:c r="AG5" s="12">
        <x:f>AE5+AF5</x:f>
        <x:v>39</x:v>
      </x:c>
      <x:c r="AH5" s="12">
        <x:f>E5*1+F5*0.7+G5*0.4+H5*0.1+I5*0.1</x:f>
        <x:v>46599.94</x:v>
      </x:c>
      <x:c r="AI5" s="12">
        <x:f>IFERROR(AE5/D5,"")</x:f>
        <x:v>0.00002035022741379135</x:v>
      </x:c>
      <x:c r="AJ5" s="13">
        <x:f>IFERROR(AE5/AG5,"")</x:f>
        <x:v>0.02564102564102564</x:v>
      </x:c>
      <x:c r="AK5" s="13">
        <x:f>IFERROR(E5/D5,"")</x:f>
        <x:v>0.8277312548967736</x:v>
      </x:c>
      <x:c r="AL5" s="13">
        <x:f>IFERROR((F5+G5)/D5,"")</x:f>
        <x:v>0.17226874510322654</x:v>
      </x:c>
      <x:c r="AM5" s="13">
        <x:f>IFERROR((H5+I5)/D5,"")</x:f>
        <x:v>0</x:v>
      </x:c>
    </x:row>
    <x:row r="6">
      <x:c r="A6" s="9" t="n">
        <x:v>10000692</x:v>
      </x:c>
      <x:c r="B6" s="10" t="n">
        <x:v>45059</x:v>
      </x:c>
      <x:c r="C6" s="9" t="n">
        <x:v>1449.866666666667</x:v>
      </x:c>
      <x:c r="D6" s="9" t="n">
        <x:v>56854.6</x:v>
      </x:c>
      <x:c r="E6" s="9" t="n">
        <x:v>44388.2</x:v>
      </x:c>
      <x:c r="F6" s="9" t="n">
        <x:v>12466.4</x:v>
      </x:c>
      <x:c r="G6" s="9" t="n"/>
      <x:c r="H6" s="9" t="n"/>
      <x:c r="I6" s="9" t="n"/>
      <x:c r="J6" s="9" t="n">
        <x:v>155814</x:v>
      </x:c>
      <x:c r="K6" s="11" t="n">
        <x:v>0.003510595966986278</x:v>
      </x:c>
      <x:c r="L6" s="11" t="n">
        <x:v>0.03577984006571938</x:v>
      </x:c>
      <x:c r="M6" s="11" t="n">
        <x:v>0.1506154774282157</x:v>
      </x:c>
      <x:c r="N6" s="11" t="n">
        <x:v>0.4537589690271734</x:v>
      </x:c>
      <x:c r="O6" s="11" t="n">
        <x:v>0.2286572451769417</x:v>
      </x:c>
      <x:c r="P6" s="9" t="n">
        <x:v>2</x:v>
      </x:c>
      <x:c r="Q6" s="9" t="n">
        <x:v>0</x:v>
      </x:c>
      <x:c r="R6" s="9" t="n">
        <x:v>23</x:v>
      </x:c>
      <x:c r="S6" s="9" t="n">
        <x:v>8</x:v>
      </x:c>
      <x:c r="T6" s="9" t="n">
        <x:v>7</x:v>
      </x:c>
      <x:c r="U6" s="9" t="n">
        <x:v>3</x:v>
      </x:c>
      <x:c r="V6" s="9" t="n">
        <x:v>1</x:v>
      </x:c>
      <x:c r="W6" s="9" t="n">
        <x:v>2</x:v>
      </x:c>
      <x:c r="X6" s="9" t="n">
        <x:v>0</x:v>
      </x:c>
      <x:c r="Y6" s="9" t="n">
        <x:v>33.56664833822095</x:v>
      </x:c>
      <x:c r="Z6" s="11" t="n">
        <x:v>0.03072288460672369</x:v>
      </x:c>
      <x:c r="AA6" s="11" t="n">
        <x:v>0.7016810137480547</x:v>
      </x:c>
      <x:c r="AB6" s="12">
        <x:f>LN(C6+1)</x:f>
        <x:v>7.2799163580118575</x:v>
      </x:c>
      <x:c r="AC6" s="12">
        <x:f>G6+H6+I6</x:f>
        <x:v>0</x:v>
      </x:c>
      <x:c r="AD6" s="12">
        <x:f>J6*(N6+O6)</x:f>
        <x:v>106329.99999999999</x:v>
      </x:c>
      <x:c r="AE6" s="12">
        <x:f>V6+W6+X6</x:f>
        <x:v>3</x:v>
      </x:c>
      <x:c r="AF6" s="12">
        <x:f>P6+Q6+R6+S6+T6+U6</x:f>
        <x:v>43</x:v>
      </x:c>
      <x:c r="AG6" s="12">
        <x:f>AE6+AF6</x:f>
        <x:v>46</x:v>
      </x:c>
      <x:c r="AH6" s="12">
        <x:f>E6*1+F6*0.7+G6*0.4+H6*0.1+I6*0.1</x:f>
        <x:v>53114.67999999999</x:v>
      </x:c>
      <x:c r="AI6" s="12">
        <x:f>IFERROR(AE6/D6,"")</x:f>
        <x:v>0.00005276617898991463</x:v>
      </x:c>
      <x:c r="AJ6" s="13">
        <x:f>IFERROR(AE6/AG6,"")</x:f>
        <x:v>0.06521739130434782</x:v>
      </x:c>
      <x:c r="AK6" s="13">
        <x:f>IFERROR(E6/D6,"")</x:f>
        <x:v>0.7807319020800427</x:v>
      </x:c>
      <x:c r="AL6" s="13">
        <x:f>IFERROR((F6+G6)/D6,"")</x:f>
        <x:v>0.21926809791995722</x:v>
      </x:c>
      <x:c r="AM6" s="13">
        <x:f>IFERROR((H6+I6)/D6,"")</x:f>
        <x:v>0</x:v>
      </x:c>
    </x:row>
    <x:row r="7">
      <x:c r="A7" s="9" t="n">
        <x:v>10000693</x:v>
      </x:c>
      <x:c r="B7" s="10" t="n">
        <x:v>45065</x:v>
      </x:c>
      <x:c r="C7" s="9" t="n">
        <x:v>1339.5</x:v>
      </x:c>
      <x:c r="D7" s="9" t="n">
        <x:v>30710.2</x:v>
      </x:c>
      <x:c r="E7" s="9" t="n">
        <x:v>16566.2</x:v>
      </x:c>
      <x:c r="F7" s="9" t="n">
        <x:v>12228</x:v>
      </x:c>
      <x:c r="G7" s="9" t="n">
        <x:v>1916</x:v>
      </x:c>
      <x:c r="H7" s="9" t="n"/>
      <x:c r="I7" s="9" t="n"/>
      <x:c r="J7" s="9" t="n">
        <x:v>106703</x:v>
      </x:c>
      <x:c r="K7" s="11" t="n">
        <x:v>0.005482507520875702</x:v>
      </x:c>
      <x:c r="L7" s="11" t="n">
        <x:v>0.06126350711788797</x:v>
      </x:c>
      <x:c r="M7" s="11" t="n">
        <x:v>0.207876067214605</x:v>
      </x:c>
      <x:c r="N7" s="11" t="n">
        <x:v>0.4638201362660844</x:v>
      </x:c>
      <x:c r="O7" s="11" t="n">
        <x:v>0.1839310984695838</x:v>
      </x:c>
      <x:c r="P7" s="9" t="n">
        <x:v>3</x:v>
      </x:c>
      <x:c r="Q7" s="9" t="n">
        <x:v>0</x:v>
      </x:c>
      <x:c r="R7" s="9" t="n">
        <x:v>11</x:v>
      </x:c>
      <x:c r="S7" s="9" t="n">
        <x:v>4</x:v>
      </x:c>
      <x:c r="T7" s="9" t="n">
        <x:v>3</x:v>
      </x:c>
      <x:c r="U7" s="9" t="n">
        <x:v>1</x:v>
      </x:c>
      <x:c r="V7" s="9" t="n">
        <x:v>0</x:v>
      </x:c>
      <x:c r="W7" s="9" t="n">
        <x:v>0</x:v>
      </x:c>
      <x:c r="X7" s="9" t="n">
        <x:v>0</x:v>
      </x:c>
      <x:c r="Y7" s="9" t="n">
        <x:v>21.07095552297168</x:v>
      </x:c>
      <x:c r="Z7" s="11" t="n">
        <x:v>0.01699233233526305</x:v>
      </x:c>
      <x:c r="AA7" s="11" t="n">
        <x:v>0.3996691138438618</x:v>
      </x:c>
      <x:c r="AB7" s="12">
        <x:f>LN(C7+1)</x:f>
        <x:v>7.200797957676014</x:v>
      </x:c>
      <x:c r="AC7" s="12">
        <x:f>G7+H7+I7</x:f>
        <x:v>1916</x:v>
      </x:c>
      <x:c r="AD7" s="12">
        <x:f>J7*(N7+O7)</x:f>
        <x:v>69117</x:v>
      </x:c>
      <x:c r="AE7" s="12">
        <x:f>V7+W7+X7</x:f>
        <x:v>0</x:v>
      </x:c>
      <x:c r="AF7" s="12">
        <x:f>P7+Q7+R7+S7+T7+U7</x:f>
        <x:v>22</x:v>
      </x:c>
      <x:c r="AG7" s="12">
        <x:f>AE7+AF7</x:f>
        <x:v>22</x:v>
      </x:c>
      <x:c r="AH7" s="12">
        <x:f>E7*1+F7*0.7+G7*0.4+H7*0.1+I7*0.1</x:f>
        <x:v>25892.200000000004</x:v>
      </x:c>
      <x:c r="AI7" s="12">
        <x:f>IFERROR(AE7/D7,"")</x:f>
        <x:v>0</x:v>
      </x:c>
      <x:c r="AJ7" s="13">
        <x:f>IFERROR(AE7/AG7,"")</x:f>
        <x:v>0</x:v>
      </x:c>
      <x:c r="AK7" s="13">
        <x:f>IFERROR(E7/D7,"")</x:f>
        <x:v>0.5394364087501873</x:v>
      </x:c>
      <x:c r="AL7" s="13">
        <x:f>IFERROR((F7+G7)/D7,"")</x:f>
        <x:v>0.4605635912498128</x:v>
      </x:c>
      <x:c r="AM7" s="13">
        <x:f>IFERROR((H7+I7)/D7,"")</x:f>
        <x:v>0</x:v>
      </x:c>
    </x:row>
    <x:row r="8">
      <x:c r="A8" s="9" t="n">
        <x:v>10000694</x:v>
      </x:c>
      <x:c r="B8" s="10" t="n">
        <x:v>45065</x:v>
      </x:c>
      <x:c r="C8" s="9" t="n">
        <x:v>1337.933333333333</x:v>
      </x:c>
      <x:c r="D8" s="9" t="n">
        <x:v>37991</x:v>
      </x:c>
      <x:c r="E8" s="9" t="n">
        <x:v>22733.2</x:v>
      </x:c>
      <x:c r="F8" s="9" t="n">
        <x:v>8142.9</x:v>
      </x:c>
      <x:c r="G8" s="9" t="n">
        <x:v>4051.8</x:v>
      </x:c>
      <x:c r="H8" s="9" t="n">
        <x:v>3063.1</x:v>
      </x:c>
      <x:c r="I8" s="9" t="n"/>
      <x:c r="J8" s="9" t="n">
        <x:v>128931</x:v>
      </x:c>
      <x:c r="K8" s="11" t="n">
        <x:v>0.01058705819391768</x:v>
      </x:c>
      <x:c r="L8" s="11" t="n">
        <x:v>0.07182911790027224</x:v>
      </x:c>
      <x:c r="M8" s="11" t="n">
        <x:v>0.2012782030698591</x:v>
      </x:c>
      <x:c r="N8" s="11" t="n">
        <x:v>0.4494962421760477</x:v>
      </x:c>
      <x:c r="O8" s="11" t="n">
        <x:v>0.188403099332201</x:v>
      </x:c>
      <x:c r="P8" s="9" t="n">
        <x:v>5</x:v>
      </x:c>
      <x:c r="Q8" s="9" t="n">
        <x:v>0</x:v>
      </x:c>
      <x:c r="R8" s="9" t="n">
        <x:v>8</x:v>
      </x:c>
      <x:c r="S8" s="9" t="n">
        <x:v>2</x:v>
      </x:c>
      <x:c r="T8" s="9" t="n">
        <x:v>2</x:v>
      </x:c>
      <x:c r="U8" s="9" t="n">
        <x:v>3</x:v>
      </x:c>
      <x:c r="V8" s="9" t="n">
        <x:v>1</x:v>
      </x:c>
      <x:c r="W8" s="9" t="n">
        <x:v>2</x:v>
      </x:c>
      <x:c r="X8" s="9" t="n">
        <x:v>0</x:v>
      </x:c>
      <x:c r="Y8" s="9" t="n">
        <x:v>31.27082722385143</x:v>
      </x:c>
      <x:c r="Z8" s="11" t="n">
        <x:v>0.02896181371432495</x:v>
      </x:c>
      <x:c r="AA8" s="11" t="n">
        <x:v>0.6546905525703505</x:v>
      </x:c>
      <x:c r="AB8" s="12">
        <x:f>LN(C8+1)</x:f>
        <x:v>7.199628556052386</x:v>
      </x:c>
      <x:c r="AC8" s="12">
        <x:f>G8+H8+I8</x:f>
        <x:v>7114.9</x:v>
      </x:c>
      <x:c r="AD8" s="12">
        <x:f>J8*(N8+O8)</x:f>
        <x:v>82245.00000000003</x:v>
      </x:c>
      <x:c r="AE8" s="12">
        <x:f>V8+W8+X8</x:f>
        <x:v>3</x:v>
      </x:c>
      <x:c r="AF8" s="12">
        <x:f>P8+Q8+R8+S8+T8+U8</x:f>
        <x:v>20</x:v>
      </x:c>
      <x:c r="AG8" s="12">
        <x:f>AE8+AF8</x:f>
        <x:v>23</x:v>
      </x:c>
      <x:c r="AH8" s="12">
        <x:f>E8*1+F8*0.7+G8*0.4+H8*0.1+I8*0.1</x:f>
        <x:v>30360.260000000002</x:v>
      </x:c>
      <x:c r="AI8" s="12">
        <x:f>IFERROR(AE8/D8,"")</x:f>
        <x:v>0.00007896607091153168</x:v>
      </x:c>
      <x:c r="AJ8" s="13">
        <x:f>IFERROR(AE8/AG8,"")</x:f>
        <x:v>0.13043478260869565</x:v>
      </x:c>
      <x:c r="AK8" s="13">
        <x:f>IFERROR(E8/D8,"")</x:f>
        <x:v>0.5983838277486774</x:v>
      </x:c>
      <x:c r="AL8" s="13">
        <x:f>IFERROR((F8+G8)/D8,"")</x:f>
        <x:v>0.32098918164828516</x:v>
      </x:c>
      <x:c r="AM8" s="13">
        <x:f>IFERROR((H8+I8)/D8,"")</x:f>
        <x:v>0.08062699060303756</x:v>
      </x:c>
    </x:row>
    <x:row r="9">
      <x:c r="A9" s="9" t="n">
        <x:v>10000695</x:v>
      </x:c>
      <x:c r="B9" s="10" t="n">
        <x:v>45057</x:v>
      </x:c>
      <x:c r="C9" s="9" t="n">
        <x:v>1842.066666666667</x:v>
      </x:c>
      <x:c r="D9" s="9" t="n">
        <x:v>54262.9</x:v>
      </x:c>
      <x:c r="E9" s="9" t="n">
        <x:v>26967.5</x:v>
      </x:c>
      <x:c r="F9" s="9" t="n">
        <x:v>10413.9</x:v>
      </x:c>
      <x:c r="G9" s="9" t="n">
        <x:v>10211.5</x:v>
      </x:c>
      <x:c r="H9" s="9" t="n">
        <x:v>6670</x:v>
      </x:c>
      <x:c r="I9" s="9" t="n"/>
      <x:c r="J9" s="9" t="n">
        <x:v>149341</x:v>
      </x:c>
      <x:c r="K9" s="11" t="n">
        <x:v>0.003060110753242579</x:v>
      </x:c>
      <x:c r="L9" s="11" t="n">
        <x:v>0.04038408742408314</x:v>
      </x:c>
      <x:c r="M9" s="11" t="n">
        <x:v>0.1577195813607783</x:v>
      </x:c>
      <x:c r="N9" s="11" t="n">
        <x:v>0.4769956006722869</x:v>
      </x:c>
      <x:c r="O9" s="11" t="n">
        <x:v>0.2517727884505929</x:v>
      </x:c>
      <x:c r="P9" s="9" t="n">
        <x:v>2</x:v>
      </x:c>
      <x:c r="Q9" s="9" t="n">
        <x:v>0</x:v>
      </x:c>
      <x:c r="R9" s="9" t="n">
        <x:v>22</x:v>
      </x:c>
      <x:c r="S9" s="9" t="n">
        <x:v>2</x:v>
      </x:c>
      <x:c r="T9" s="9" t="n">
        <x:v>7</x:v>
      </x:c>
      <x:c r="U9" s="9" t="n">
        <x:v>4</x:v>
      </x:c>
      <x:c r="V9" s="9" t="n">
        <x:v>1</x:v>
      </x:c>
      <x:c r="W9" s="9" t="n">
        <x:v>2</x:v>
      </x:c>
      <x:c r="X9" s="9" t="n">
        <x:v>1</x:v>
      </x:c>
      <x:c r="Y9" s="9" t="n">
        <x:v>47.68891739980453</x:v>
      </x:c>
      <x:c r="Z9" s="11" t="n">
        <x:v>0.03864890250463172</x:v>
      </x:c>
      <x:c r="AA9" s="11" t="n">
        <x:v>0.7662610528561689</x:v>
      </x:c>
      <x:c r="AB9" s="12">
        <x:f>LN(C9+1)</x:f>
        <x:v>7.519186129922093</x:v>
      </x:c>
      <x:c r="AC9" s="12">
        <x:f>G9+H9+I9</x:f>
        <x:v>16881.5</x:v>
      </x:c>
      <x:c r="AD9" s="12">
        <x:f>J9*(N9+O9)</x:f>
        <x:v>108834.99999999999</x:v>
      </x:c>
      <x:c r="AE9" s="12">
        <x:f>V9+W9+X9</x:f>
        <x:v>4</x:v>
      </x:c>
      <x:c r="AF9" s="12">
        <x:f>P9+Q9+R9+S9+T9+U9</x:f>
        <x:v>37</x:v>
      </x:c>
      <x:c r="AG9" s="12">
        <x:f>AE9+AF9</x:f>
        <x:v>41</x:v>
      </x:c>
      <x:c r="AH9" s="12">
        <x:f>E9*1+F9*0.7+G9*0.4+H9*0.1+I9*0.1</x:f>
        <x:v>39008.829999999994</x:v>
      </x:c>
      <x:c r="AI9" s="12">
        <x:f>IFERROR(AE9/D9,"")</x:f>
        <x:v>0.00007371519030497816</x:v>
      </x:c>
      <x:c r="AJ9" s="13">
        <x:f>IFERROR(AE9/AG9,"")</x:f>
        <x:v>0.0975609756097561</x:v>
      </x:c>
      <x:c r="AK9" s="13">
        <x:f>IFERROR(E9/D9,"")</x:f>
        <x:v>0.4969785986373747</x:v>
      </x:c>
      <x:c r="AL9" s="13">
        <x:f>IFERROR((F9+G9)/D9,"")</x:f>
        <x:v>0.3801013215290742</x:v>
      </x:c>
      <x:c r="AM9" s="13">
        <x:f>IFERROR((H9+I9)/D9,"")</x:f>
        <x:v>0.12292007983355109</x:v>
      </x:c>
    </x:row>
    <x:row r="10">
      <x:c r="A10" s="9" t="n">
        <x:v>10000702</x:v>
      </x:c>
      <x:c r="B10" s="10" t="n">
        <x:v>45057</x:v>
      </x:c>
      <x:c r="C10" s="9" t="n">
        <x:v>1860.533333333333</x:v>
      </x:c>
      <x:c r="D10" s="9" t="n">
        <x:v>40981.4</x:v>
      </x:c>
      <x:c r="E10" s="9" t="n">
        <x:v>23697</x:v>
      </x:c>
      <x:c r="F10" s="9" t="n">
        <x:v>13005.4</x:v>
      </x:c>
      <x:c r="G10" s="9" t="n">
        <x:v>4081</x:v>
      </x:c>
      <x:c r="H10" s="9" t="n">
        <x:v>198</x:v>
      </x:c>
      <x:c r="I10" s="9" t="n"/>
      <x:c r="J10" s="9" t="n">
        <x:v>147834</x:v>
      </x:c>
      <x:c r="K10" s="11" t="n">
        <x:v>0.006987567136112126</x:v>
      </x:c>
      <x:c r="L10" s="11" t="n">
        <x:v>0.06457242582897033</x:v>
      </x:c>
      <x:c r="M10" s="11" t="n">
        <x:v>0.2186574130443606</x:v>
      </x:c>
      <x:c r="N10" s="11" t="n">
        <x:v>0.4677408444606789</x:v>
      </x:c>
      <x:c r="O10" s="11" t="n">
        <x:v>0.1690680087124748</x:v>
      </x:c>
      <x:c r="P10" s="9" t="n">
        <x:v>5</x:v>
      </x:c>
      <x:c r="Q10" s="9" t="n">
        <x:v>0</x:v>
      </x:c>
      <x:c r="R10" s="9" t="n">
        <x:v>10</x:v>
      </x:c>
      <x:c r="S10" s="9" t="n">
        <x:v>7</x:v>
      </x:c>
      <x:c r="T10" s="9" t="n">
        <x:v>8</x:v>
      </x:c>
      <x:c r="U10" s="9" t="n">
        <x:v>3</x:v>
      </x:c>
      <x:c r="V10" s="9" t="n">
        <x:v>0</x:v>
      </x:c>
      <x:c r="W10" s="9" t="n">
        <x:v>1</x:v>
      </x:c>
      <x:c r="X10" s="9" t="n">
        <x:v>0</x:v>
      </x:c>
      <x:c r="Y10" s="9" t="n">
        <x:v>38.28186705767352</x:v>
      </x:c>
      <x:c r="Z10" s="11" t="n">
        <x:v>0.03252202018054621</x:v>
      </x:c>
      <x:c r="AA10" s="11" t="n">
        <x:v>0.6747380882439495</x:v>
      </x:c>
      <x:c r="AB10" s="12">
        <x:f>LN(C10+1)</x:f>
        <x:v>7.5291557998585095</x:v>
      </x:c>
      <x:c r="AC10" s="12">
        <x:f>G10+H10+I10</x:f>
        <x:v>4279</x:v>
      </x:c>
      <x:c r="AD10" s="12">
        <x:f>J10*(N10+O10)</x:f>
        <x:v>94142.00000000001</x:v>
      </x:c>
      <x:c r="AE10" s="12">
        <x:f>V10+W10+X10</x:f>
        <x:v>1</x:v>
      </x:c>
      <x:c r="AF10" s="12">
        <x:f>P10+Q10+R10+S10+T10+U10</x:f>
        <x:v>33</x:v>
      </x:c>
      <x:c r="AG10" s="12">
        <x:f>AE10+AF10</x:f>
        <x:v>34</x:v>
      </x:c>
      <x:c r="AH10" s="12">
        <x:f>E10*1+F10*0.7+G10*0.4+H10*0.1+I10*0.1</x:f>
        <x:v>34452.98</x:v>
      </x:c>
      <x:c r="AI10" s="12">
        <x:f>IFERROR(AE10/D10,"")</x:f>
        <x:v>0.0000244013137667332</x:v>
      </x:c>
      <x:c r="AJ10" s="13">
        <x:f>IFERROR(AE10/AG10,"")</x:f>
        <x:v>0.029411764705882353</x:v>
      </x:c>
      <x:c r="AK10" s="13">
        <x:f>IFERROR(E10/D10,"")</x:f>
        <x:v>0.5782379323302766</x:v>
      </x:c>
      <x:c r="AL10" s="13">
        <x:f>IFERROR((F10+G10)/D10,"")</x:f>
        <x:v>0.4169306075439102</x:v>
      </x:c>
      <x:c r="AM10" s="13">
        <x:f>IFERROR((H10+I10)/D10,"")</x:f>
        <x:v>0.004831460125813173</x:v>
      </x:c>
    </x:row>
    <x:row r="11">
      <x:c r="A11" s="9" t="n">
        <x:v>10000736</x:v>
      </x:c>
      <x:c r="B11" s="10" t="n">
        <x:v>45102</x:v>
      </x:c>
      <x:c r="C11" s="9" t="n">
        <x:v>2766.2</x:v>
      </x:c>
      <x:c r="D11" s="9" t="n">
        <x:v>80698.5</x:v>
      </x:c>
      <x:c r="E11" s="9" t="n">
        <x:v>43003.4</x:v>
      </x:c>
      <x:c r="F11" s="9" t="n">
        <x:v>16012.3</x:v>
      </x:c>
      <x:c r="G11" s="9" t="n">
        <x:v>17259</x:v>
      </x:c>
      <x:c r="H11" s="9" t="n">
        <x:v>4423.8</x:v>
      </x:c>
      <x:c r="I11" s="9" t="n"/>
      <x:c r="J11" s="9" t="n">
        <x:v>217469</x:v>
      </x:c>
      <x:c r="K11" s="11" t="n">
        <x:v>0.005587003205054513</x:v>
      </x:c>
      <x:c r="L11" s="11" t="n">
        <x:v>0.04505009909458359</x:v>
      </x:c>
      <x:c r="M11" s="11" t="n">
        <x:v>0.1565648437248527</x:v>
      </x:c>
      <x:c r="N11" s="11" t="n">
        <x:v>0.4525380628963209</x:v>
      </x:c>
      <x:c r="O11" s="11" t="n">
        <x:v>0.2459017147271565</x:v>
      </x:c>
      <x:c r="P11" s="9" t="n">
        <x:v>7</x:v>
      </x:c>
      <x:c r="Q11" s="9" t="n">
        <x:v>0</x:v>
      </x:c>
      <x:c r="R11" s="9" t="n">
        <x:v>37</x:v>
      </x:c>
      <x:c r="S11" s="9" t="n">
        <x:v>2</x:v>
      </x:c>
      <x:c r="T11" s="9" t="n">
        <x:v>8</x:v>
      </x:c>
      <x:c r="U11" s="9" t="n">
        <x:v>4</x:v>
      </x:c>
      <x:c r="V11" s="9" t="n">
        <x:v>1</x:v>
      </x:c>
      <x:c r="W11" s="9" t="n">
        <x:v>1</x:v>
      </x:c>
      <x:c r="X11" s="9" t="n">
        <x:v>0</x:v>
      </x:c>
      <x:c r="Y11" s="9" t="n">
        <x:v>77.89623655913978</x:v>
      </x:c>
      <x:c r="Z11" s="11" t="n">
        <x:v>0.07257489685074826</x:v>
      </x:c>
      <x:c r="AA11" s="11" t="n">
        <x:v>0.6842341953478618</x:v>
      </x:c>
      <x:c r="AB11" s="12">
        <x:f>LN(C11+1)</x:f>
        <x:v>7.925591257622959</x:v>
      </x:c>
      <x:c r="AC11" s="12">
        <x:f>G11+H11+I11</x:f>
        <x:v>21682.8</x:v>
      </x:c>
      <x:c r="AD11" s="12">
        <x:f>J11*(N11+O11)</x:f>
        <x:v>151889</x:v>
      </x:c>
      <x:c r="AE11" s="12">
        <x:f>V11+W11+X11</x:f>
        <x:v>2</x:v>
      </x:c>
      <x:c r="AF11" s="12">
        <x:f>P11+Q11+R11+S11+T11+U11</x:f>
        <x:v>58</x:v>
      </x:c>
      <x:c r="AG11" s="12">
        <x:f>AE11+AF11</x:f>
        <x:v>60</x:v>
      </x:c>
      <x:c r="AH11" s="12">
        <x:f>E11*1+F11*0.7+G11*0.4+H11*0.1+I11*0.1</x:f>
        <x:v>61557.99</x:v>
      </x:c>
      <x:c r="AI11" s="12">
        <x:f>IFERROR(AE11/D11,"")</x:f>
        <x:v>0.00002478360812158838</x:v>
      </x:c>
      <x:c r="AJ11" s="13">
        <x:f>IFERROR(AE11/AG11,"")</x:f>
        <x:v>0.03333333333333333</x:v>
      </x:c>
      <x:c r="AK11" s="13">
        <x:f>IFERROR(E11/D11,"")</x:f>
        <x:v>0.5328897067479569</x:v>
      </x:c>
      <x:c r="AL11" s="13">
        <x:f>IFERROR((F11+G11)/D11,"")</x:f>
        <x:v>0.4122914304479018</x:v>
      </x:c>
      <x:c r="AM11" s="13">
        <x:f>IFERROR((H11+I11)/D11,"")</x:f>
        <x:v>0.05481886280414134</x:v>
      </x:c>
    </x:row>
    <x:row r="12">
      <x:c r="A12" s="9" t="n">
        <x:v>10000737</x:v>
      </x:c>
      <x:c r="B12" s="10" t="n">
        <x:v>45128</x:v>
      </x:c>
      <x:c r="C12" s="9" t="n">
        <x:v>2095.433333333333</x:v>
      </x:c>
      <x:c r="D12" s="9" t="n">
        <x:v>37437.1</x:v>
      </x:c>
      <x:c r="E12" s="9" t="n">
        <x:v>21222.7</x:v>
      </x:c>
      <x:c r="F12" s="9" t="n">
        <x:v>10065</x:v>
      </x:c>
      <x:c r="G12" s="9" t="n">
        <x:v>3345.4</x:v>
      </x:c>
      <x:c r="H12" s="9" t="n">
        <x:v>2804</x:v>
      </x:c>
      <x:c r="I12" s="9" t="n"/>
      <x:c r="J12" s="9" t="n">
        <x:v>167349</x:v>
      </x:c>
      <x:c r="K12" s="11" t="n">
        <x:v>0.01588297509994084</x:v>
      </x:c>
      <x:c r="L12" s="11" t="n">
        <x:v>0.1088025623099033</x:v>
      </x:c>
      <x:c r="M12" s="11" t="n">
        <x:v>0.2574739018458431</x:v>
      </x:c>
      <x:c r="N12" s="11" t="n">
        <x:v>0.4211737148115615</x:v>
      </x:c>
      <x:c r="O12" s="11" t="n">
        <x:v>0.1281453728435784</x:v>
      </x:c>
      <x:c r="P12" s="9" t="n">
        <x:v>3</x:v>
      </x:c>
      <x:c r="Q12" s="9" t="n">
        <x:v>0</x:v>
      </x:c>
      <x:c r="R12" s="9" t="n">
        <x:v>11</x:v>
      </x:c>
      <x:c r="S12" s="9" t="n">
        <x:v>3</x:v>
      </x:c>
      <x:c r="T12" s="9" t="n">
        <x:v>2</x:v>
      </x:c>
      <x:c r="U12" s="9" t="n">
        <x:v>4</x:v>
      </x:c>
      <x:c r="V12" s="9" t="n">
        <x:v>0</x:v>
      </x:c>
      <x:c r="W12" s="9" t="n">
        <x:v>2</x:v>
      </x:c>
      <x:c r="X12" s="9" t="n">
        <x:v>0</x:v>
      </x:c>
      <x:c r="Y12" s="9" t="n">
        <x:v>40.07238413051537</x:v>
      </x:c>
      <x:c r="Z12" s="11" t="n">
        <x:v>0.03447579808048331</x:v>
      </x:c>
      <x:c r="AA12" s="11" t="n">
        <x:v>0.586292221163792</x:v>
      </x:c>
      <x:c r="AB12" s="12">
        <x:f>LN(C12+1)</x:f>
        <x:v>7.647992767075087</x:v>
      </x:c>
      <x:c r="AC12" s="12">
        <x:f>G12+H12+I12</x:f>
        <x:v>6149.4</x:v>
      </x:c>
      <x:c r="AD12" s="12">
        <x:f>J12*(N12+O12)</x:f>
        <x:v>91928.00000000001</x:v>
      </x:c>
      <x:c r="AE12" s="12">
        <x:f>V12+W12+X12</x:f>
        <x:v>2</x:v>
      </x:c>
      <x:c r="AF12" s="12">
        <x:f>P12+Q12+R12+S12+T12+U12</x:f>
        <x:v>23</x:v>
      </x:c>
      <x:c r="AG12" s="12">
        <x:f>AE12+AF12</x:f>
        <x:v>25</x:v>
      </x:c>
      <x:c r="AH12" s="12">
        <x:f>E12*1+F12*0.7+G12*0.4+H12*0.1+I12*0.1</x:f>
        <x:v>29886.760000000002</x:v>
      </x:c>
      <x:c r="AI12" s="12">
        <x:f>IFERROR(AE12/D12,"")</x:f>
        <x:v>0.000053422941413731304</x:v>
      </x:c>
      <x:c r="AJ12" s="13">
        <x:f>IFERROR(AE12/AG12,"")</x:f>
        <x:v>0.08</x:v>
      </x:c>
      <x:c r="AK12" s="13">
        <x:f>IFERROR(E12/D12,"")</x:f>
        <x:v>0.5668895293705977</x:v>
      </x:c>
      <x:c r="AL12" s="13">
        <x:f>IFERROR((F12+G12)/D12,"")</x:f>
        <x:v>0.3582115067673511</x:v>
      </x:c>
      <x:c r="AM12" s="13">
        <x:f>IFERROR((H12+I12)/D12,"")</x:f>
        <x:v>0.07489896386205129</x:v>
      </x:c>
    </x:row>
    <x:row r="13">
      <x:c r="A13" s="9" t="n">
        <x:v>10000738</x:v>
      </x:c>
      <x:c r="B13" s="10" t="n">
        <x:v>45095</x:v>
      </x:c>
      <x:c r="C13" s="9" t="n">
        <x:v>1298.633333333333</x:v>
      </x:c>
      <x:c r="D13" s="9" t="n">
        <x:v>36324.39999999999</x:v>
      </x:c>
      <x:c r="E13" s="9" t="n">
        <x:v>9846.19999999999</x:v>
      </x:c>
      <x:c r="F13" s="9" t="n">
        <x:v>19127.3</x:v>
      </x:c>
      <x:c r="G13" s="9" t="n">
        <x:v>7350.9</x:v>
      </x:c>
      <x:c r="H13" s="9" t="n"/>
      <x:c r="I13" s="9" t="n"/>
      <x:c r="J13" s="9" t="n">
        <x:v>156641</x:v>
      </x:c>
      <x:c r="K13" s="11" t="n">
        <x:v>0.01236585568273951</x:v>
      </x:c>
      <x:c r="L13" s="11" t="n">
        <x:v>0.09502620642105196</x:v>
      </x:c>
      <x:c r="M13" s="11" t="n">
        <x:v>0.2349448739474339</x:v>
      </x:c>
      <x:c r="N13" s="11" t="n">
        <x:v>0.4073390746994721</x:v>
      </x:c>
      <x:c r="O13" s="11" t="n">
        <x:v>0.1710918597302111</x:v>
      </x:c>
      <x:c r="P13" s="9" t="n">
        <x:v>4</x:v>
      </x:c>
      <x:c r="Q13" s="9" t="n">
        <x:v>0</x:v>
      </x:c>
      <x:c r="R13" s="9" t="n">
        <x:v>17</x:v>
      </x:c>
      <x:c r="S13" s="9" t="n">
        <x:v>4</x:v>
      </x:c>
      <x:c r="T13" s="9" t="n">
        <x:v>3</x:v>
      </x:c>
      <x:c r="U13" s="9" t="n">
        <x:v>4</x:v>
      </x:c>
      <x:c r="V13" s="9" t="n">
        <x:v>2</x:v>
      </x:c>
      <x:c r="W13" s="9" t="n">
        <x:v>2</x:v>
      </x:c>
      <x:c r="X13" s="9" t="n">
        <x:v>0</x:v>
      </x:c>
      <x:c r="Y13" s="9" t="n">
        <x:v>28.08293010752687</x:v>
      </x:c>
      <x:c r="Z13" s="11" t="n">
        <x:v>0.0270734366174589</x:v>
      </x:c>
      <x:c r="AA13" s="11" t="n">
        <x:v>0.495248655506252</x:v>
      </x:c>
      <x:c r="AB13" s="12">
        <x:f>LN(C13+1)</x:f>
        <x:v>7.169837452383633</x:v>
      </x:c>
      <x:c r="AC13" s="12">
        <x:f>G13+H13+I13</x:f>
        <x:v>7350.9</x:v>
      </x:c>
      <x:c r="AD13" s="12">
        <x:f>J13*(N13+O13)</x:f>
        <x:v>90606</x:v>
      </x:c>
      <x:c r="AE13" s="12">
        <x:f>V13+W13+X13</x:f>
        <x:v>4</x:v>
      </x:c>
      <x:c r="AF13" s="12">
        <x:f>P13+Q13+R13+S13+T13+U13</x:f>
        <x:v>32</x:v>
      </x:c>
      <x:c r="AG13" s="12">
        <x:f>AE13+AF13</x:f>
        <x:v>36</x:v>
      </x:c>
      <x:c r="AH13" s="12">
        <x:f>E13*1+F13*0.7+G13*0.4+H13*0.1+I13*0.1</x:f>
        <x:v>26175.66999999999</x:v>
      </x:c>
      <x:c r="AI13" s="12">
        <x:f>IFERROR(AE13/D13,"")</x:f>
        <x:v>0.00011011881820484306</x:v>
      </x:c>
      <x:c r="AJ13" s="13">
        <x:f>IFERROR(AE13/AG13,"")</x:f>
        <x:v>0.1111111111111111</x:v>
      </x:c>
      <x:c r="AK13" s="13">
        <x:f>IFERROR(E13/D13,"")</x:f>
        <x:v>0.27106297695213116</x:v>
      </x:c>
      <x:c r="AL13" s="13">
        <x:f>IFERROR((F13+G13)/D13,"")</x:f>
        <x:v>0.7289370230478688</x:v>
      </x:c>
      <x:c r="AM13" s="13">
        <x:f>IFERROR((H13+I13)/D13,"")</x:f>
        <x:v>0</x:v>
      </x:c>
    </x:row>
    <x:row r="14">
      <x:c r="A14" s="9" t="n">
        <x:v>10000739</x:v>
      </x:c>
      <x:c r="B14" s="10" t="n">
        <x:v>45107</x:v>
      </x:c>
      <x:c r="C14" s="9" t="n">
        <x:v>2020.4</x:v>
      </x:c>
      <x:c r="D14" s="9" t="n">
        <x:v>38177.9999999999</x:v>
      </x:c>
      <x:c r="E14" s="9" t="n">
        <x:v>22284.6999999999</x:v>
      </x:c>
      <x:c r="F14" s="9" t="n">
        <x:v>15564.5</x:v>
      </x:c>
      <x:c r="G14" s="9" t="n">
        <x:v>328.8</x:v>
      </x:c>
      <x:c r="H14" s="9" t="n"/>
      <x:c r="I14" s="9" t="n"/>
      <x:c r="J14" s="9" t="n">
        <x:v>164205</x:v>
      </x:c>
      <x:c r="K14" s="11" t="n">
        <x:v>0.007033890563624737</x:v>
      </x:c>
      <x:c r="L14" s="11" t="n">
        <x:v>0.06008343229499711</x:v>
      </x:c>
      <x:c r="M14" s="11" t="n">
        <x:v>0.2048841387290277</x:v>
      </x:c>
      <x:c r="N14" s="11" t="n">
        <x:v>0.4733595201120551</x:v>
      </x:c>
      <x:c r="O14" s="11" t="n">
        <x:v>0.1753417983618038</x:v>
      </x:c>
      <x:c r="P14" s="9" t="n">
        <x:v>8</x:v>
      </x:c>
      <x:c r="Q14" s="9" t="n">
        <x:v>0</x:v>
      </x:c>
      <x:c r="R14" s="9" t="n">
        <x:v>18</x:v>
      </x:c>
      <x:c r="S14" s="9" t="n">
        <x:v>8</x:v>
      </x:c>
      <x:c r="T14" s="9" t="n">
        <x:v>5</x:v>
      </x:c>
      <x:c r="U14" s="9" t="n">
        <x:v>2</x:v>
      </x:c>
      <x:c r="V14" s="9" t="n">
        <x:v>2</x:v>
      </x:c>
      <x:c r="W14" s="9" t="n">
        <x:v>1</x:v>
      </x:c>
      <x:c r="X14" s="9" t="n">
        <x:v>0</x:v>
      </x:c>
      <x:c r="Y14" s="9" t="n">
        <x:v>29.89772849462365</x:v>
      </x:c>
      <x:c r="Z14" s="11" t="n">
        <x:v>0.02193520813854342</x:v>
      </x:c>
      <x:c r="AA14" s="11" t="n">
        <x:v>0.5576002976972474</x:v>
      </x:c>
      <x:c r="AB14" s="12">
        <x:f>LN(C14+1)</x:f>
        <x:v>7.611545619640562</x:v>
      </x:c>
      <x:c r="AC14" s="12">
        <x:f>G14+H14+I14</x:f>
        <x:v>328.8</x:v>
      </x:c>
      <x:c r="AD14" s="12">
        <x:f>J14*(N14+O14)</x:f>
        <x:v>106520</x:v>
      </x:c>
      <x:c r="AE14" s="12">
        <x:f>V14+W14+X14</x:f>
        <x:v>3</x:v>
      </x:c>
      <x:c r="AF14" s="12">
        <x:f>P14+Q14+R14+S14+T14+U14</x:f>
        <x:v>41</x:v>
      </x:c>
      <x:c r="AG14" s="12">
        <x:f>AE14+AF14</x:f>
        <x:v>44</x:v>
      </x:c>
      <x:c r="AH14" s="12">
        <x:f>E14*1+F14*0.7+G14*0.4+H14*0.1+I14*0.1</x:f>
        <x:v>33311.36999999989</x:v>
      </x:c>
      <x:c r="AI14" s="12">
        <x:f>IFERROR(AE14/D14,"")</x:f>
        <x:v>0.00007857928650007878</x:v>
      </x:c>
      <x:c r="AJ14" s="13">
        <x:f>IFERROR(AE14/AG14,"")</x:f>
        <x:v>0.06818181818181818</x:v>
      </x:c>
      <x:c r="AK14" s="13">
        <x:f>IFERROR(E14/D14,"")</x:f>
        <x:v>0.5837052752894326</x:v>
      </x:c>
      <x:c r="AL14" s="13">
        <x:f>IFERROR((F14+G14)/D14,"")</x:f>
        <x:v>0.4162947247105674</x:v>
      </x:c>
      <x:c r="AM14" s="13">
        <x:f>IFERROR((H14+I14)/D14,"")</x:f>
        <x:v>0</x:v>
      </x:c>
    </x:row>
    <x:row r="15">
      <x:c r="A15" s="9" t="n">
        <x:v>10000749</x:v>
      </x:c>
      <x:c r="B15" s="10" t="n">
        <x:v>45107</x:v>
      </x:c>
      <x:c r="C15" s="9" t="n">
        <x:v>1338.333333333333</x:v>
      </x:c>
      <x:c r="D15" s="9" t="n">
        <x:v>31304.2</x:v>
      </x:c>
      <x:c r="E15" s="9" t="n">
        <x:v>21376.2</x:v>
      </x:c>
      <x:c r="F15" s="9" t="n">
        <x:v>9928</x:v>
      </x:c>
      <x:c r="G15" s="9" t="n"/>
      <x:c r="H15" s="9" t="n"/>
      <x:c r="I15" s="9" t="n"/>
      <x:c r="J15" s="9" t="n">
        <x:v>86337</x:v>
      </x:c>
      <x:c r="K15" s="11" t="n">
        <x:v>0.003080950229913015</x:v>
      </x:c>
      <x:c r="L15" s="11" t="n">
        <x:v>0.03492129677890128</x:v>
      </x:c>
      <x:c r="M15" s="11" t="n">
        <x:v>0.1463103883618842</x:v>
      </x:c>
      <x:c r="N15" s="11" t="n">
        <x:v>0.4779410913050025</x:v>
      </x:c>
      <x:c r="O15" s="11" t="n">
        <x:v>0.260027566396794</x:v>
      </x:c>
      <x:c r="P15" s="9" t="n">
        <x:v>1</x:v>
      </x:c>
      <x:c r="Q15" s="9" t="n">
        <x:v>0</x:v>
      </x:c>
      <x:c r="R15" s="9" t="n">
        <x:v>11</x:v>
      </x:c>
      <x:c r="S15" s="9" t="n">
        <x:v>3</x:v>
      </x:c>
      <x:c r="T15" s="9" t="n">
        <x:v>4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14.1568010752688</x:v>
      </x:c>
      <x:c r="Z15" s="11" t="n">
        <x:v>0.01388923724092003</x:v>
      </x:c>
      <x:c r="AA15" s="11" t="n">
        <x:v>0.4486999008249162</x:v>
      </x:c>
      <x:c r="AB15" s="12">
        <x:f>LN(C15+1)</x:f>
        <x:v>7.199927256706769</x:v>
      </x:c>
      <x:c r="AC15" s="12">
        <x:f>G15+H15+I15</x:f>
        <x:v>0</x:v>
      </x:c>
      <x:c r="AD15" s="12">
        <x:f>J15*(N15+O15)</x:f>
        <x:v>63714.00000000001</x:v>
      </x:c>
      <x:c r="AE15" s="12">
        <x:f>V15+W15+X15</x:f>
        <x:v>0</x:v>
      </x:c>
      <x:c r="AF15" s="12">
        <x:f>P15+Q15+R15+S15+T15+U15</x:f>
        <x:v>19</x:v>
      </x:c>
      <x:c r="AG15" s="12">
        <x:f>AE15+AF15</x:f>
        <x:v>19</x:v>
      </x:c>
      <x:c r="AH15" s="12">
        <x:f>E15*1+F15*0.7+G15*0.4+H15*0.1+I15*0.1</x:f>
        <x:v>28325.8</x:v>
      </x:c>
      <x:c r="AI15" s="12">
        <x:f>IFERROR(AE15/D15,"")</x:f>
        <x:v>0</x:v>
      </x:c>
      <x:c r="AJ15" s="13">
        <x:f>IFERROR(AE15/AG15,"")</x:f>
        <x:v>0</x:v>
      </x:c>
      <x:c r="AK15" s="13">
        <x:f>IFERROR(E15/D15,"")</x:f>
        <x:v>0.6828540579219402</x:v>
      </x:c>
      <x:c r="AL15" s="13">
        <x:f>IFERROR((F15+G15)/D15,"")</x:f>
        <x:v>0.3171459420780598</x:v>
      </x:c>
      <x:c r="AM15" s="13">
        <x:f>IFERROR((H15+I15)/D15,"")</x:f>
        <x:v>0</x:v>
      </x:c>
    </x:row>
    <x:row r="16">
      <x:c r="A16" s="9" t="n">
        <x:v>10000757</x:v>
      </x:c>
      <x:c r="B16" s="10" t="n">
        <x:v>45113</x:v>
      </x:c>
      <x:c r="C16" s="9" t="n">
        <x:v>1490.366666666667</x:v>
      </x:c>
      <x:c r="D16" s="9" t="n">
        <x:v>48627</x:v>
      </x:c>
      <x:c r="E16" s="9" t="n">
        <x:v>25410.5</x:v>
      </x:c>
      <x:c r="F16" s="9" t="n">
        <x:v>11543.5</x:v>
      </x:c>
      <x:c r="G16" s="9" t="n">
        <x:v>9851</x:v>
      </x:c>
      <x:c r="H16" s="9" t="n">
        <x:v>1822</x:v>
      </x:c>
      <x:c r="I16" s="9" t="n"/>
      <x:c r="J16" s="9" t="n">
        <x:v>126363</x:v>
      </x:c>
      <x:c r="K16" s="11" t="n">
        <x:v>0.005080601125329408</x:v>
      </x:c>
      <x:c r="L16" s="11" t="n">
        <x:v>0.05938447172036118</x:v>
      </x:c>
      <x:c r="M16" s="11" t="n">
        <x:v>0.1980168245451596</x:v>
      </x:c>
      <x:c r="N16" s="11" t="n">
        <x:v>0.4402317133971178</x:v>
      </x:c>
      <x:c r="O16" s="11" t="n">
        <x:v>0.2055665028528921</x:v>
      </x:c>
      <x:c r="P16" s="9" t="n">
        <x:v>2</x:v>
      </x:c>
      <x:c r="Q16" s="9" t="n">
        <x:v>2</x:v>
      </x:c>
      <x:c r="R16" s="9" t="n">
        <x:v>11</x:v>
      </x:c>
      <x:c r="S16" s="9" t="n">
        <x:v>6</x:v>
      </x:c>
      <x:c r="T16" s="9" t="n">
        <x:v>2</x:v>
      </x:c>
      <x:c r="U16" s="9" t="n">
        <x:v>5</x:v>
      </x:c>
      <x:c r="V16" s="9" t="n">
        <x:v>0</x:v>
      </x:c>
      <x:c r="W16" s="9" t="n">
        <x:v>0</x:v>
      </x:c>
      <x:c r="X16" s="9" t="n">
        <x:v>0</x:v>
      </x:c>
      <x:c r="Y16" s="9" t="n">
        <x:v>39.30221774193547</x:v>
      </x:c>
      <x:c r="Z16" s="11" t="n">
        <x:v>0.04460160477217194</x:v>
      </x:c>
      <x:c r="AA16" s="11" t="n">
        <x:v>0.6668791865120308</x:v>
      </x:c>
      <x:c r="AB16" s="12">
        <x:f>LN(C16+1)</x:f>
        <x:v>7.307448204495611</x:v>
      </x:c>
      <x:c r="AC16" s="12">
        <x:f>G16+H16+I16</x:f>
        <x:v>11673</x:v>
      </x:c>
      <x:c r="AD16" s="12">
        <x:f>J16*(N16+O16)</x:f>
        <x:v>81605</x:v>
      </x:c>
      <x:c r="AE16" s="12">
        <x:f>V16+W16+X16</x:f>
        <x:v>0</x:v>
      </x:c>
      <x:c r="AF16" s="12">
        <x:f>P16+Q16+R16+S16+T16+U16</x:f>
        <x:v>28</x:v>
      </x:c>
      <x:c r="AG16" s="12">
        <x:f>AE16+AF16</x:f>
        <x:v>28</x:v>
      </x:c>
      <x:c r="AH16" s="12">
        <x:f>E16*1+F16*0.7+G16*0.4+H16*0.1+I16*0.1</x:f>
        <x:v>37613.549999999996</x:v>
      </x:c>
      <x:c r="AI16" s="12">
        <x:f>IFERROR(AE16/D16,"")</x:f>
        <x:v>0</x:v>
      </x:c>
      <x:c r="AJ16" s="13">
        <x:f>IFERROR(AE16/AG16,"")</x:f>
        <x:v>0</x:v>
      </x:c>
      <x:c r="AK16" s="13">
        <x:f>IFERROR(E16/D16,"")</x:f>
        <x:v>0.5225594834145639</x:v>
      </x:c>
      <x:c r="AL16" s="13">
        <x:f>IFERROR((F16+G16)/D16,"")</x:f>
        <x:v>0.4399716207045469</x:v>
      </x:c>
      <x:c r="AM16" s="13">
        <x:f>IFERROR((H16+I16)/D16,"")</x:f>
        <x:v>0.03746889588088922</x:v>
      </x:c>
    </x:row>
    <x:row r="17">
      <x:c r="A17" s="9" t="n">
        <x:v>10000758</x:v>
      </x:c>
      <x:c r="B17" s="10" t="n">
        <x:v>45138</x:v>
      </x:c>
      <x:c r="C17" s="9" t="n">
        <x:v>1976.233333333333</x:v>
      </x:c>
      <x:c r="D17" s="9" t="n">
        <x:v>77576.39999999999</x:v>
      </x:c>
      <x:c r="E17" s="9" t="n">
        <x:v>25938.3</x:v>
      </x:c>
      <x:c r="F17" s="9" t="n">
        <x:v>11307.1</x:v>
      </x:c>
      <x:c r="G17" s="9" t="n">
        <x:v>15693</x:v>
      </x:c>
      <x:c r="H17" s="9" t="n">
        <x:v>5389</x:v>
      </x:c>
      <x:c r="I17" s="9" t="n">
        <x:v>19249</x:v>
      </x:c>
      <x:c r="J17" s="9" t="n">
        <x:v>236472</x:v>
      </x:c>
      <x:c r="K17" s="11" t="n">
        <x:v>0.009066612537636591</x:v>
      </x:c>
      <x:c r="L17" s="11" t="n">
        <x:v>0.06494637842958151</x:v>
      </x:c>
      <x:c r="M17" s="11" t="n">
        <x:v>0.2178228289184343</x:v>
      </x:c>
      <x:c r="N17" s="11" t="n">
        <x:v>0.4803486247843297</x:v>
      </x:c>
      <x:c r="O17" s="11" t="n">
        <x:v>0.1585219391725025</x:v>
      </x:c>
      <x:c r="P17" s="9" t="n">
        <x:v>4</x:v>
      </x:c>
      <x:c r="Q17" s="9" t="n">
        <x:v>0</x:v>
      </x:c>
      <x:c r="R17" s="9" t="n">
        <x:v>9</x:v>
      </x:c>
      <x:c r="S17" s="9" t="n">
        <x:v>9</x:v>
      </x:c>
      <x:c r="T17" s="9" t="n">
        <x:v>6</x:v>
      </x:c>
      <x:c r="U17" s="9" t="n">
        <x:v>1</x:v>
      </x:c>
      <x:c r="V17" s="9" t="n">
        <x:v>0</x:v>
      </x:c>
      <x:c r="W17" s="9" t="n">
        <x:v>1</x:v>
      </x:c>
      <x:c r="X17" s="9" t="n">
        <x:v>0</x:v>
      </x:c>
      <x:c r="Y17" s="9" t="n">
        <x:v>41.3952317389692</x:v>
      </x:c>
      <x:c r="Z17" s="11" t="n">
        <x:v>0.03640146711656179</x:v>
      </x:c>
      <x:c r="AA17" s="11" t="n">
        <x:v>0.589597168889023</x:v>
      </x:c>
      <x:c r="AB17" s="12">
        <x:f>LN(C17+1)</x:f>
        <x:v>7.589453840148339</x:v>
      </x:c>
      <x:c r="AC17" s="12">
        <x:f>G17+H17+I17</x:f>
        <x:v>40331</x:v>
      </x:c>
      <x:c r="AD17" s="12">
        <x:f>J17*(N17+O17)</x:f>
        <x:v>151075.00000000003</x:v>
      </x:c>
      <x:c r="AE17" s="12">
        <x:f>V17+W17+X17</x:f>
        <x:v>1</x:v>
      </x:c>
      <x:c r="AF17" s="12">
        <x:f>P17+Q17+R17+S17+T17+U17</x:f>
        <x:v>29</x:v>
      </x:c>
      <x:c r="AG17" s="12">
        <x:f>AE17+AF17</x:f>
        <x:v>30</x:v>
      </x:c>
      <x:c r="AH17" s="12">
        <x:f>E17*1+F17*0.7+G17*0.4+H17*0.1+I17*0.1</x:f>
        <x:v>42594.270000000004</x:v>
      </x:c>
      <x:c r="AI17" s="12">
        <x:f>IFERROR(AE17/D17,"")</x:f>
        <x:v>0.00001289051825039574</x:v>
      </x:c>
      <x:c r="AJ17" s="13">
        <x:f>IFERROR(AE17/AG17,"")</x:f>
        <x:v>0.03333333333333333</x:v>
      </x:c>
      <x:c r="AK17" s="13">
        <x:f>IFERROR(E17/D17,"")</x:f>
        <x:v>0.3343581295342398</x:v>
      </x:c>
      <x:c r="AL17" s="13">
        <x:f>IFERROR((F17+G17)/D17,"")</x:f>
        <x:v>0.34804528181251</x:v>
      </x:c>
      <x:c r="AM17" s="13">
        <x:f>IFERROR((H17+I17)/D17,"")</x:f>
        <x:v>0.31759658865325024</x:v>
      </x:c>
    </x:row>
    <x:row r="18">
      <x:c r="A18" s="9" t="n">
        <x:v>10000770</x:v>
      </x:c>
      <x:c r="B18" s="10" t="n">
        <x:v>45120</x:v>
      </x:c>
      <x:c r="C18" s="9" t="n">
        <x:v>2044.766666666667</x:v>
      </x:c>
      <x:c r="D18" s="9" t="n">
        <x:v>39059.4</x:v>
      </x:c>
      <x:c r="E18" s="9" t="n">
        <x:v>22594.2</x:v>
      </x:c>
      <x:c r="F18" s="9" t="n">
        <x:v>12461.2</x:v>
      </x:c>
      <x:c r="G18" s="9" t="n">
        <x:v>4004</x:v>
      </x:c>
      <x:c r="H18" s="9" t="n"/>
      <x:c r="I18" s="9" t="n"/>
      <x:c r="J18" s="9" t="n">
        <x:v>135912</x:v>
      </x:c>
      <x:c r="K18" s="11" t="n">
        <x:v>0.004480840543881335</x:v>
      </x:c>
      <x:c r="L18" s="11" t="n">
        <x:v>0.04426393548766849</x:v>
      </x:c>
      <x:c r="M18" s="11" t="n">
        <x:v>0.1630466772617576</x:v>
      </x:c>
      <x:c r="N18" s="11" t="n">
        <x:v>0.4524250985932073</x:v>
      </x:c>
      <x:c r="O18" s="11" t="n">
        <x:v>0.24988227676732</x:v>
      </x:c>
      <x:c r="P18" s="9" t="n">
        <x:v>3</x:v>
      </x:c>
      <x:c r="Q18" s="9" t="n">
        <x:v>0</x:v>
      </x:c>
      <x:c r="R18" s="9" t="n">
        <x:v>12</x:v>
      </x:c>
      <x:c r="S18" s="9" t="n">
        <x:v>1</x:v>
      </x:c>
      <x:c r="T18" s="9" t="n">
        <x:v>0</x:v>
      </x:c>
      <x:c r="U18" s="9" t="n">
        <x:v>4</x:v>
      </x:c>
      <x:c r="V18" s="9" t="n">
        <x:v>0</x:v>
      </x:c>
      <x:c r="W18" s="9" t="n">
        <x:v>2</x:v>
      </x:c>
      <x:c r="X18" s="9" t="n">
        <x:v>0</x:v>
      </x:c>
      <x:c r="Y18" s="9" t="n">
        <x:v>53.16188357434186</x:v>
      </x:c>
      <x:c r="Z18" s="11" t="n">
        <x:v>0.05480484644003178</x:v>
      </x:c>
      <x:c r="AA18" s="11" t="n">
        <x:v>0.7673615167476908</x:v>
      </x:c>
      <x:c r="AB18" s="12">
        <x:f>LN(C18+1)</x:f>
        <x:v>7.623527896345668</x:v>
      </x:c>
      <x:c r="AC18" s="12">
        <x:f>G18+H18+I18</x:f>
        <x:v>4004</x:v>
      </x:c>
      <x:c r="AD18" s="12">
        <x:f>J18*(N18+O18)</x:f>
        <x:v>95451.99999999999</x:v>
      </x:c>
      <x:c r="AE18" s="12">
        <x:f>V18+W18+X18</x:f>
        <x:v>2</x:v>
      </x:c>
      <x:c r="AF18" s="12">
        <x:f>P18+Q18+R18+S18+T18+U18</x:f>
        <x:v>20</x:v>
      </x:c>
      <x:c r="AG18" s="12">
        <x:f>AE18+AF18</x:f>
        <x:v>22</x:v>
      </x:c>
      <x:c r="AH18" s="12">
        <x:f>E18*1+F18*0.7+G18*0.4+H18*0.1+I18*0.1</x:f>
        <x:v>32918.64</x:v>
      </x:c>
      <x:c r="AI18" s="12">
        <x:f>IFERROR(AE18/D18,"")</x:f>
        <x:v>0.00005120406355448368</x:v>
      </x:c>
      <x:c r="AJ18" s="13">
        <x:f>IFERROR(AE18/AG18,"")</x:f>
        <x:v>0.09090909090909091</x:v>
      </x:c>
      <x:c r="AK18" s="13">
        <x:f>IFERROR(E18/D18,"")</x:f>
        <x:v>0.5784574263813577</x:v>
      </x:c>
      <x:c r="AL18" s="13">
        <x:f>IFERROR((F18+G18)/D18,"")</x:f>
        <x:v>0.4215425736186424</x:v>
      </x:c>
      <x:c r="AM18" s="13">
        <x:f>IFERROR((H18+I18)/D18,"")</x:f>
        <x:v>0</x:v>
      </x:c>
    </x:row>
    <x:row r="19">
      <x:c r="A19" s="9" t="n">
        <x:v>10000771</x:v>
      </x:c>
      <x:c r="B19" s="10" t="n">
        <x:v>45120</x:v>
      </x:c>
      <x:c r="C19" s="9" t="n">
        <x:v>1567.633333333333</x:v>
      </x:c>
      <x:c r="D19" s="9" t="n">
        <x:v>28997.9</x:v>
      </x:c>
      <x:c r="E19" s="9" t="n">
        <x:v>19782.8</x:v>
      </x:c>
      <x:c r="F19" s="9" t="n">
        <x:v>7706.6</x:v>
      </x:c>
      <x:c r="G19" s="9" t="n">
        <x:v>1508.5</x:v>
      </x:c>
      <x:c r="H19" s="9" t="n"/>
      <x:c r="I19" s="9" t="n"/>
      <x:c r="J19" s="9" t="n">
        <x:v>90017</x:v>
      </x:c>
      <x:c r="K19" s="11" t="n">
        <x:v>0.004243642867458369</x:v>
      </x:c>
      <x:c r="L19" s="11" t="n">
        <x:v>0.04611351189219814</x:v>
      </x:c>
      <x:c r="M19" s="11" t="n">
        <x:v>0.1702456202717265</x:v>
      </x:c>
      <x:c r="N19" s="11" t="n">
        <x:v>0.4787762311563372</x:v>
      </x:c>
      <x:c r="O19" s="11" t="n">
        <x:v>0.2236577535354433</x:v>
      </x:c>
      <x:c r="P19" s="9" t="n">
        <x:v>0</x:v>
      </x:c>
      <x:c r="Q19" s="9" t="n">
        <x:v>0</x:v>
      </x:c>
      <x:c r="R19" s="9" t="n">
        <x:v>7</x:v>
      </x:c>
      <x:c r="S19" s="9" t="n">
        <x:v>4</x:v>
      </x:c>
      <x:c r="T19" s="9" t="n">
        <x:v>4</x:v>
      </x:c>
      <x:c r="U19" s="9" t="n">
        <x:v>1</x:v>
      </x:c>
      <x:c r="V19" s="9" t="n">
        <x:v>0</x:v>
      </x:c>
      <x:c r="W19" s="9" t="n">
        <x:v>0</x:v>
      </x:c>
      <x:c r="X19" s="9" t="n">
        <x:v>0</x:v>
      </x:c>
      <x:c r="Y19" s="9" t="n">
        <x:v>28.2235298479792</x:v>
      </x:c>
      <x:c r="Z19" s="11" t="n">
        <x:v>0.02791964205651432</x:v>
      </x:c>
      <x:c r="AA19" s="11" t="n">
        <x:v>0.6025788103465664</x:v>
      </x:c>
      <x:c r="AB19" s="12">
        <x:f>LN(C19+1)</x:f>
        <x:v>7.357960030924661</x:v>
      </x:c>
      <x:c r="AC19" s="12">
        <x:f>G19+H19+I19</x:f>
        <x:v>1508.5</x:v>
      </x:c>
      <x:c r="AD19" s="12">
        <x:f>J19*(N19+O19)</x:f>
        <x:v>63231.00000000001</x:v>
      </x:c>
      <x:c r="AE19" s="12">
        <x:f>V19+W19+X19</x:f>
        <x:v>0</x:v>
      </x:c>
      <x:c r="AF19" s="12">
        <x:f>P19+Q19+R19+S19+T19+U19</x:f>
        <x:v>16</x:v>
      </x:c>
      <x:c r="AG19" s="12">
        <x:f>AE19+AF19</x:f>
        <x:v>16</x:v>
      </x:c>
      <x:c r="AH19" s="12">
        <x:f>E19*1+F19*0.7+G19*0.4+H19*0.1+I19*0.1</x:f>
        <x:v>25780.82</x:v>
      </x:c>
      <x:c r="AI19" s="12">
        <x:f>IFERROR(AE19/D19,"")</x:f>
        <x:v>0</x:v>
      </x:c>
      <x:c r="AJ19" s="13">
        <x:f>IFERROR(AE19/AG19,"")</x:f>
        <x:v>0</x:v>
      </x:c>
      <x:c r="AK19" s="13">
        <x:f>IFERROR(E19/D19,"")</x:f>
        <x:v>0.6822149190113767</x:v>
      </x:c>
      <x:c r="AL19" s="13">
        <x:f>IFERROR((F19+G19)/D19,"")</x:f>
        <x:v>0.3177850809886233</x:v>
      </x:c>
      <x:c r="AM19" s="13">
        <x:f>IFERROR((H19+I19)/D19,"")</x:f>
        <x:v>0</x:v>
      </x:c>
    </x:row>
    <x:row r="20">
      <x:c r="A20" s="9" t="n">
        <x:v>10000772</x:v>
      </x:c>
      <x:c r="B20" s="10" t="n">
        <x:v>45144</x:v>
      </x:c>
      <x:c r="C20" s="9" t="n">
        <x:v>1725.833333333333</x:v>
      </x:c>
      <x:c r="D20" s="9" t="n">
        <x:v>39716.9</x:v>
      </x:c>
      <x:c r="E20" s="9" t="n">
        <x:v>19620.4</x:v>
      </x:c>
      <x:c r="F20" s="9" t="n">
        <x:v>7747.5</x:v>
      </x:c>
      <x:c r="G20" s="9" t="n">
        <x:v>6605</x:v>
      </x:c>
      <x:c r="H20" s="9" t="n">
        <x:v>5744</x:v>
      </x:c>
      <x:c r="I20" s="9" t="n"/>
      <x:c r="J20" s="9" t="n">
        <x:v>88062</x:v>
      </x:c>
      <x:c r="K20" s="11" t="n">
        <x:v>0.003486180191228907</x:v>
      </x:c>
      <x:c r="L20" s="11" t="n">
        <x:v>0.05221321341781927</x:v>
      </x:c>
      <x:c r="M20" s="11" t="n">
        <x:v>0.2078081351774886</x:v>
      </x:c>
      <x:c r="N20" s="11" t="n">
        <x:v>0.4928686607163135</x:v>
      </x:c>
      <x:c r="O20" s="11" t="n">
        <x:v>0.1690286389134928</x:v>
      </x:c>
      <x:c r="P20" s="9" t="n">
        <x:v>1</x:v>
      </x:c>
      <x:c r="Q20" s="9" t="n">
        <x:v>0</x:v>
      </x:c>
      <x:c r="R20" s="9" t="n">
        <x:v>4</x:v>
      </x:c>
      <x:c r="S20" s="9" t="n">
        <x:v>4</x:v>
      </x:c>
      <x:c r="T20" s="9" t="n">
        <x:v>3</x:v>
      </x:c>
      <x:c r="U20" s="9" t="n">
        <x:v>3</x:v>
      </x:c>
      <x:c r="V20" s="9" t="n">
        <x:v>0</x:v>
      </x:c>
      <x:c r="W20" s="9" t="n">
        <x:v>1</x:v>
      </x:c>
      <x:c r="X20" s="9" t="n">
        <x:v>0</x:v>
      </x:c>
      <x:c r="Y20" s="9" t="n">
        <x:v>27.66694581280786</x:v>
      </x:c>
      <x:c r="Z20" s="11" t="n">
        <x:v>0.02577216995321102</x:v>
      </x:c>
      <x:c r="AA20" s="11" t="n">
        <x:v>0.5083971468503194</x:v>
      </x:c>
      <x:c r="AB20" s="12">
        <x:f>LN(C20+1)</x:f>
        <x:v>7.454044567023697</x:v>
      </x:c>
      <x:c r="AC20" s="12">
        <x:f>G20+H20+I20</x:f>
        <x:v>12349</x:v>
      </x:c>
      <x:c r="AD20" s="12">
        <x:f>J20*(N20+O20)</x:f>
        <x:v>58288</x:v>
      </x:c>
      <x:c r="AE20" s="12">
        <x:f>V20+W20+X20</x:f>
        <x:v>1</x:v>
      </x:c>
      <x:c r="AF20" s="12">
        <x:f>P20+Q20+R20+S20+T20+U20</x:f>
        <x:v>15</x:v>
      </x:c>
      <x:c r="AG20" s="12">
        <x:f>AE20+AF20</x:f>
        <x:v>16</x:v>
      </x:c>
      <x:c r="AH20" s="12">
        <x:f>E20*1+F20*0.7+G20*0.4+H20*0.1+I20*0.1</x:f>
        <x:v>28260.050000000003</x:v>
      </x:c>
      <x:c r="AI20" s="12">
        <x:f>IFERROR(AE20/D20,"")</x:f>
        <x:v>0.00002517819870130851</x:v>
      </x:c>
      <x:c r="AJ20" s="13">
        <x:f>IFERROR(AE20/AG20,"")</x:f>
        <x:v>0.0625</x:v>
      </x:c>
      <x:c r="AK20" s="13">
        <x:f>IFERROR(E20/D20,"")</x:f>
        <x:v>0.49400632979915354</x:v>
      </x:c>
      <x:c r="AL20" s="13">
        <x:f>IFERROR((F20+G20)/D20,"")</x:f>
        <x:v>0.3613700968605304</x:v>
      </x:c>
      <x:c r="AM20" s="13">
        <x:f>IFERROR((H20+I20)/D20,"")</x:f>
        <x:v>0.1446235733403161</x:v>
      </x:c>
    </x:row>
    <x:row r="21">
      <x:c r="A21" s="9" t="n">
        <x:v>10000801</x:v>
      </x:c>
      <x:c r="B21" s="10" t="n">
        <x:v>45149</x:v>
      </x:c>
      <x:c r="C21" s="9" t="n">
        <x:v>2932.233333333333</x:v>
      </x:c>
      <x:c r="D21" s="9" t="n">
        <x:v>51934.9</x:v>
      </x:c>
      <x:c r="E21" s="9" t="n">
        <x:v>30000</x:v>
      </x:c>
      <x:c r="F21" s="9" t="n">
        <x:v>15624.5</x:v>
      </x:c>
      <x:c r="G21" s="9" t="n">
        <x:v>5770.4</x:v>
      </x:c>
      <x:c r="H21" s="9" t="n">
        <x:v>540</x:v>
      </x:c>
      <x:c r="I21" s="9" t="n"/>
      <x:c r="J21" s="9" t="n">
        <x:v>198401</x:v>
      </x:c>
      <x:c r="K21" s="11" t="n">
        <x:v>0.004611871915968165</x:v>
      </x:c>
      <x:c r="L21" s="11" t="n">
        <x:v>0.03266112569997127</x:v>
      </x:c>
      <x:c r="M21" s="11" t="n">
        <x:v>0.1363601997973801</x:v>
      </x:c>
      <x:c r="N21" s="11" t="n">
        <x:v>0.4812324534654563</x:v>
      </x:c>
      <x:c r="O21" s="11" t="n">
        <x:v>0.2778211803367927</x:v>
      </x:c>
      <x:c r="P21" s="9" t="n">
        <x:v>7</x:v>
      </x:c>
      <x:c r="Q21" s="9" t="n">
        <x:v>0</x:v>
      </x:c>
      <x:c r="R21" s="9" t="n">
        <x:v>20</x:v>
      </x:c>
      <x:c r="S21" s="9" t="n">
        <x:v>2</x:v>
      </x:c>
      <x:c r="T21" s="9" t="n">
        <x:v>7</x:v>
      </x:c>
      <x:c r="U21" s="9" t="n">
        <x:v>2</x:v>
      </x:c>
      <x:c r="V21" s="9" t="n">
        <x:v>1</x:v>
      </x:c>
      <x:c r="W21" s="9" t="n">
        <x:v>2</x:v>
      </x:c>
      <x:c r="X21" s="9" t="n">
        <x:v>0</x:v>
      </x:c>
      <x:c r="Y21" s="9" t="n">
        <x:v>56.34003284072246</x:v>
      </x:c>
      <x:c r="Z21" s="11" t="n">
        <x:v>0.03150019534831212</x:v>
      </x:c>
      <x:c r="AA21" s="11" t="n">
        <x:v>0.6749221897464489</x:v>
      </x:c>
      <x:c r="AB21" s="12">
        <x:f>LN(C21+1)</x:f>
        <x:v>7.983860620307989</x:v>
      </x:c>
      <x:c r="AC21" s="12">
        <x:f>G21+H21+I21</x:f>
        <x:v>6310.4</x:v>
      </x:c>
      <x:c r="AD21" s="12">
        <x:f>J21*(N21+O21)</x:f>
        <x:v>150597</x:v>
      </x:c>
      <x:c r="AE21" s="12">
        <x:f>V21+W21+X21</x:f>
        <x:v>3</x:v>
      </x:c>
      <x:c r="AF21" s="12">
        <x:f>P21+Q21+R21+S21+T21+U21</x:f>
        <x:v>38</x:v>
      </x:c>
      <x:c r="AG21" s="12">
        <x:f>AE21+AF21</x:f>
        <x:v>41</x:v>
      </x:c>
      <x:c r="AH21" s="12">
        <x:f>E21*1+F21*0.7+G21*0.4+H21*0.1+I21*0.1</x:f>
        <x:v>43299.31</x:v>
      </x:c>
      <x:c r="AI21" s="12">
        <x:f>IFERROR(AE21/D21,"")</x:f>
        <x:v>0.00005776462455882268</x:v>
      </x:c>
      <x:c r="AJ21" s="13">
        <x:f>IFERROR(AE21/AG21,"")</x:f>
        <x:v>0.07317073170731707</x:v>
      </x:c>
      <x:c r="AK21" s="13">
        <x:f>IFERROR(E21/D21,"")</x:f>
        <x:v>0.5776462455882267</x:v>
      </x:c>
      <x:c r="AL21" s="13">
        <x:f>IFERROR((F21+G21)/D21,"")</x:f>
        <x:v>0.41195612199118514</x:v>
      </x:c>
      <x:c r="AM21" s="13">
        <x:f>IFERROR((H21+I21)/D21,"")</x:f>
        <x:v>0.010397632420588082</x:v>
      </x:c>
    </x:row>
    <x:row r="22">
      <x:c r="A22" s="9" t="n">
        <x:v>10000802</x:v>
      </x:c>
      <x:c r="B22" s="10" t="n">
        <x:v>45149</x:v>
      </x:c>
      <x:c r="C22" s="9" t="n">
        <x:v>1889.3</x:v>
      </x:c>
      <x:c r="D22" s="9" t="n">
        <x:v>47104.19999999998</x:v>
      </x:c>
      <x:c r="E22" s="9" t="n">
        <x:v>33717.6</x:v>
      </x:c>
      <x:c r="F22" s="9" t="n">
        <x:v>9025.399999999991</x:v>
      </x:c>
      <x:c r="G22" s="9" t="n">
        <x:v>4361.2</x:v>
      </x:c>
      <x:c r="H22" s="9" t="n"/>
      <x:c r="I22" s="9" t="n"/>
      <x:c r="J22" s="9" t="n">
        <x:v>179512</x:v>
      </x:c>
      <x:c r="K22" s="11" t="n">
        <x:v>0.00713044253308971</x:v>
      </x:c>
      <x:c r="L22" s="11" t="n">
        <x:v>0.0561912295556843</x:v>
      </x:c>
      <x:c r="M22" s="11" t="n">
        <x:v>0.1813472079860956</x:v>
      </x:c>
      <x:c r="N22" s="11" t="n">
        <x:v>0.4318485672267035</x:v>
      </x:c>
      <x:c r="O22" s="11" t="n">
        <x:v>0.1950955924952092</x:v>
      </x:c>
      <x:c r="P22" s="9" t="n">
        <x:v>3</x:v>
      </x:c>
      <x:c r="Q22" s="9" t="n">
        <x:v>2</x:v>
      </x:c>
      <x:c r="R22" s="9" t="n">
        <x:v>26</x:v>
      </x:c>
      <x:c r="S22" s="9" t="n">
        <x:v>5</x:v>
      </x:c>
      <x:c r="T22" s="9" t="n">
        <x:v>8</x:v>
      </x:c>
      <x:c r="U22" s="9" t="n">
        <x:v>1</x:v>
      </x:c>
      <x:c r="V22" s="9" t="n">
        <x:v>0</x:v>
      </x:c>
      <x:c r="W22" s="9" t="n">
        <x:v>2</x:v>
      </x:c>
      <x:c r="X22" s="9" t="n">
        <x:v>0</x:v>
      </x:c>
      <x:c r="Y22" s="9" t="n">
        <x:v>29.71430213464696</x:v>
      </x:c>
      <x:c r="Z22" s="11" t="n">
        <x:v>0.02424888724656905</x:v>
      </x:c>
      <x:c r="AA22" s="11" t="n">
        <x:v>0.5953964963451789</x:v>
      </x:c>
      <x:c r="AB22" s="12">
        <x:f>LN(C22+1)</x:f>
        <x:v>7.544490825616119</x:v>
      </x:c>
      <x:c r="AC22" s="12">
        <x:f>G22+H22+I22</x:f>
        <x:v>4361.2</x:v>
      </x:c>
      <x:c r="AD22" s="12">
        <x:f>J22*(N22+O22)</x:f>
        <x:v>112544</x:v>
      </x:c>
      <x:c r="AE22" s="12">
        <x:f>V22+W22+X22</x:f>
        <x:v>2</x:v>
      </x:c>
      <x:c r="AF22" s="12">
        <x:f>P22+Q22+R22+S22+T22+U22</x:f>
        <x:v>45</x:v>
      </x:c>
      <x:c r="AG22" s="12">
        <x:f>AE22+AF22</x:f>
        <x:v>47</x:v>
      </x:c>
      <x:c r="AH22" s="12">
        <x:f>E22*1+F22*0.7+G22*0.4+H22*0.1+I22*0.1</x:f>
        <x:v>41779.85999999999</x:v>
      </x:c>
      <x:c r="AI22" s="12">
        <x:f>IFERROR(AE22/D22,"")</x:f>
        <x:v>0.000042459058852501493</x:v>
      </x:c>
      <x:c r="AJ22" s="13">
        <x:f>IFERROR(AE22/AG22,"")</x:f>
        <x:v>0.0425531914893617</x:v>
      </x:c>
      <x:c r="AK22" s="13">
        <x:f>IFERROR(E22/D22,"")</x:f>
        <x:v>0.7158087813825521</x:v>
      </x:c>
      <x:c r="AL22" s="13">
        <x:f>IFERROR((F22+G22)/D22,"")</x:f>
        <x:v>0.28419121861744806</x:v>
      </x:c>
      <x:c r="AM22" s="13">
        <x:f>IFERROR((H22+I22)/D22,"")</x:f>
        <x:v>0</x:v>
      </x:c>
    </x:row>
    <x:row r="23">
      <x:c r="A23" s="9" t="n">
        <x:v>10000822</x:v>
      </x:c>
      <x:c r="B23" s="10" t="n">
        <x:v>45192</x:v>
      </x:c>
      <x:c r="C23" s="9" t="n">
        <x:v>1515.4</x:v>
      </x:c>
      <x:c r="D23" s="9" t="n">
        <x:v>37317</x:v>
      </x:c>
      <x:c r="E23" s="9" t="n">
        <x:v>17491</x:v>
      </x:c>
      <x:c r="F23" s="9" t="n">
        <x:v>13752</x:v>
      </x:c>
      <x:c r="G23" s="9" t="n">
        <x:v>6074</x:v>
      </x:c>
      <x:c r="H23" s="9" t="n"/>
      <x:c r="I23" s="9" t="n"/>
      <x:c r="J23" s="9" t="n">
        <x:v>102680</x:v>
      </x:c>
      <x:c r="K23" s="11" t="n">
        <x:v>0.004772107518504091</x:v>
      </x:c>
      <x:c r="L23" s="11" t="n">
        <x:v>0.05247370471367355</x:v>
      </x:c>
      <x:c r="M23" s="11" t="n">
        <x:v>0.1749026100506428</x:v>
      </x:c>
      <x:c r="N23" s="11" t="n">
        <x:v>0.4499902610050643</x:v>
      </x:c>
      <x:c r="O23" s="11" t="n">
        <x:v>0.2378749513050253</x:v>
      </x:c>
      <x:c r="P23" s="9" t="n">
        <x:v>1</x:v>
      </x:c>
      <x:c r="Q23" s="9" t="n">
        <x:v>0</x:v>
      </x:c>
      <x:c r="R23" s="9" t="n">
        <x:v>8</x:v>
      </x:c>
      <x:c r="S23" s="9" t="n">
        <x:v>2</x:v>
      </x:c>
      <x:c r="T23" s="9" t="n">
        <x:v>0</x:v>
      </x:c>
      <x:c r="U23" s="9" t="n">
        <x:v>3</x:v>
      </x:c>
      <x:c r="V23" s="9" t="n">
        <x:v>0</x:v>
      </x:c>
      <x:c r="W23" s="9" t="n">
        <x:v>1</x:v>
      </x:c>
      <x:c r="X23" s="9" t="n">
        <x:v>0</x:v>
      </x:c>
      <x:c r="Y23" s="9" t="n">
        <x:v>58.15313811348295</x:v>
      </x:c>
      <x:c r="Z23" s="11" t="n">
        <x:v>0.06790508297121446</x:v>
      </x:c>
      <x:c r="AA23" s="11" t="n">
        <x:v>0.8529391307063577</x:v>
      </x:c>
      <x:c r="AB23" s="12">
        <x:f>LN(C23+1)</x:f>
        <x:v>7.32409438364218</x:v>
      </x:c>
      <x:c r="AC23" s="12">
        <x:f>G23+H23+I23</x:f>
        <x:v>6074</x:v>
      </x:c>
      <x:c r="AD23" s="12">
        <x:f>J23*(N23+O23)</x:f>
        <x:v>70630</x:v>
      </x:c>
      <x:c r="AE23" s="12">
        <x:f>V23+W23+X23</x:f>
        <x:v>1</x:v>
      </x:c>
      <x:c r="AF23" s="12">
        <x:f>P23+Q23+R23+S23+T23+U23</x:f>
        <x:v>14</x:v>
      </x:c>
      <x:c r="AG23" s="12">
        <x:f>AE23+AF23</x:f>
        <x:v>15</x:v>
      </x:c>
      <x:c r="AH23" s="12">
        <x:f>E23*1+F23*0.7+G23*0.4+H23*0.1+I23*0.1</x:f>
        <x:v>29547</x:v>
      </x:c>
      <x:c r="AI23" s="12">
        <x:f>IFERROR(AE23/D23,"")</x:f>
        <x:v>0.000026797438164911436</x:v>
      </x:c>
      <x:c r="AJ23" s="13">
        <x:f>IFERROR(AE23/AG23,"")</x:f>
        <x:v>0.06666666666666667</x:v>
      </x:c>
      <x:c r="AK23" s="13">
        <x:f>IFERROR(E23/D23,"")</x:f>
        <x:v>0.4687139909424659</x:v>
      </x:c>
      <x:c r="AL23" s="13">
        <x:f>IFERROR((F23+G23)/D23,"")</x:f>
        <x:v>0.5312860090575341</x:v>
      </x:c>
      <x:c r="AM23" s="13">
        <x:f>IFERROR((H23+I23)/D23,"")</x:f>
        <x:v>0</x:v>
      </x:c>
    </x:row>
    <x:row r="24">
      <x:c r="A24" s="9" t="n">
        <x:v>10000839</x:v>
      </x:c>
      <x:c r="B24" s="10" t="n">
        <x:v>45197</x:v>
      </x:c>
      <x:c r="C24" s="9" t="n">
        <x:v>1922.666666666667</x:v>
      </x:c>
      <x:c r="D24" s="9" t="n">
        <x:v>45540.4999999999</x:v>
      </x:c>
      <x:c r="E24" s="9" t="n">
        <x:v>26171.1999999999</x:v>
      </x:c>
      <x:c r="F24" s="9" t="n">
        <x:v>16975.5</x:v>
      </x:c>
      <x:c r="G24" s="9" t="n">
        <x:v>2393.8</x:v>
      </x:c>
      <x:c r="H24" s="9" t="n"/>
      <x:c r="I24" s="9" t="n"/>
      <x:c r="J24" s="9" t="n">
        <x:v>203847</x:v>
      </x:c>
      <x:c r="K24" s="11" t="n">
        <x:v>0.003625267970585782</x:v>
      </x:c>
      <x:c r="L24" s="11" t="n">
        <x:v>0.03294627833620313</x:v>
      </x:c>
      <x:c r="M24" s="11" t="n">
        <x:v>0.1335118986298547</x:v>
      </x:c>
      <x:c r="N24" s="11" t="n">
        <x:v>0.44214042885105</x:v>
      </x:c>
      <x:c r="O24" s="11" t="n">
        <x:v>0.2977478206694236</x:v>
      </x:c>
      <x:c r="P24" s="9" t="n">
        <x:v>6</x:v>
      </x:c>
      <x:c r="Q24" s="9" t="n">
        <x:v>1</x:v>
      </x:c>
      <x:c r="R24" s="9" t="n">
        <x:v>30</x:v>
      </x:c>
      <x:c r="S24" s="9" t="n">
        <x:v>9</x:v>
      </x:c>
      <x:c r="T24" s="9" t="n">
        <x:v>6</x:v>
      </x:c>
      <x:c r="U24" s="9" t="n">
        <x:v>1</x:v>
      </x:c>
      <x:c r="V24" s="9" t="n">
        <x:v>0</x:v>
      </x:c>
      <x:c r="W24" s="9" t="n">
        <x:v>1</x:v>
      </x:c>
      <x:c r="X24" s="9" t="n">
        <x:v>0</x:v>
      </x:c>
      <x:c r="Y24" s="9" t="n">
        <x:v>35.66602809706259</x:v>
      </x:c>
      <x:c r="Z24" s="11" t="n">
        <x:v>0.02515515075277869</x:v>
      </x:c>
      <x:c r="AA24" s="11" t="n">
        <x:v>0.58693150696847</x:v>
      </x:c>
      <x:c r="AB24" s="12">
        <x:f>LN(C24+1)</x:f>
        <x:v>7.561988366042857</x:v>
      </x:c>
      <x:c r="AC24" s="12">
        <x:f>G24+H24+I24</x:f>
        <x:v>2393.8</x:v>
      </x:c>
      <x:c r="AD24" s="12">
        <x:f>J24*(N24+O24)</x:f>
        <x:v>150823.99999999997</x:v>
      </x:c>
      <x:c r="AE24" s="12">
        <x:f>V24+W24+X24</x:f>
        <x:v>1</x:v>
      </x:c>
      <x:c r="AF24" s="12">
        <x:f>P24+Q24+R24+S24+T24+U24</x:f>
        <x:v>53</x:v>
      </x:c>
      <x:c r="AG24" s="12">
        <x:f>AE24+AF24</x:f>
        <x:v>54</x:v>
      </x:c>
      <x:c r="AH24" s="12">
        <x:f>E24*1+F24*0.7+G24*0.4+H24*0.1+I24*0.1</x:f>
        <x:v>39011.5699999999</x:v>
      </x:c>
      <x:c r="AI24" s="12">
        <x:f>IFERROR(AE24/D24,"")</x:f>
        <x:v>0.00002195847652089903</x:v>
      </x:c>
      <x:c r="AJ24" s="13">
        <x:f>IFERROR(AE24/AG24,"")</x:f>
        <x:v>0.018518518518518517</x:v>
      </x:c>
      <x:c r="AK24" s="13">
        <x:f>IFERROR(E24/D24,"")</x:f>
        <x:v>0.5746796807237504</x:v>
      </x:c>
      <x:c r="AL24" s="13">
        <x:f>IFERROR((F24+G24)/D24,"")</x:f>
        <x:v>0.4253203192762495</x:v>
      </x:c>
      <x:c r="AM24" s="13">
        <x:f>IFERROR((H24+I24)/D24,"")</x:f>
        <x:v>0</x:v>
      </x:c>
    </x:row>
    <x:row r="25">
      <x:c r="A25" s="9" t="n">
        <x:v>10000843</x:v>
      </x:c>
      <x:c r="B25" s="10" t="n">
        <x:v>45197</x:v>
      </x:c>
      <x:c r="C25" s="9" t="n">
        <x:v>1358.766666666667</x:v>
      </x:c>
      <x:c r="D25" s="9" t="n">
        <x:v>43239.8</x:v>
      </x:c>
      <x:c r="E25" s="9" t="n">
        <x:v>16947.1</x:v>
      </x:c>
      <x:c r="F25" s="9" t="n">
        <x:v>15395.3</x:v>
      </x:c>
      <x:c r="G25" s="9" t="n">
        <x:v>10897.4</x:v>
      </x:c>
      <x:c r="H25" s="9" t="n"/>
      <x:c r="I25" s="9" t="n"/>
      <x:c r="J25" s="9" t="n">
        <x:v>151102</x:v>
      </x:c>
      <x:c r="K25" s="11" t="n">
        <x:v>0.01316329366917711</x:v>
      </x:c>
      <x:c r="L25" s="11" t="n">
        <x:v>0.1049688290029252</x:v>
      </x:c>
      <x:c r="M25" s="11" t="n">
        <x:v>0.2748474540376699</x:v>
      </x:c>
      <x:c r="N25" s="11" t="n">
        <x:v>0.4226946036452198</x:v>
      </x:c>
      <x:c r="O25" s="11" t="n">
        <x:v>0.1187674550965573</x:v>
      </x:c>
      <x:c r="P25" s="9" t="n">
        <x:v>4</x:v>
      </x:c>
      <x:c r="Q25" s="9" t="n">
        <x:v>0</x:v>
      </x:c>
      <x:c r="R25" s="9" t="n">
        <x:v>8</x:v>
      </x:c>
      <x:c r="S25" s="9" t="n">
        <x:v>3</x:v>
      </x:c>
      <x:c r="T25" s="9" t="n">
        <x:v>4</x:v>
      </x:c>
      <x:c r="U25" s="9" t="n">
        <x:v>5</x:v>
      </x:c>
      <x:c r="V25" s="9" t="n">
        <x:v>0</x:v>
      </x:c>
      <x:c r="W25" s="9" t="n">
        <x:v>2</x:v>
      </x:c>
      <x:c r="X25" s="9" t="n">
        <x:v>0</x:v>
      </x:c>
      <x:c r="Y25" s="9" t="n">
        <x:v>35.94368728334246</x:v>
      </x:c>
      <x:c r="Z25" s="11" t="n">
        <x:v>0.03714298171129905</x:v>
      </x:c>
      <x:c r="AA25" s="11" t="n">
        <x:v>0.6821324079728762</x:v>
      </x:c>
      <x:c r="AB25" s="12">
        <x:f>LN(C25+1)</x:f>
        <x:v>7.215068395383066</x:v>
      </x:c>
      <x:c r="AC25" s="12">
        <x:f>G25+H25+I25</x:f>
        <x:v>10897.4</x:v>
      </x:c>
      <x:c r="AD25" s="12">
        <x:f>J25*(N25+O25)</x:f>
        <x:v>81816</x:v>
      </x:c>
      <x:c r="AE25" s="12">
        <x:f>V25+W25+X25</x:f>
        <x:v>2</x:v>
      </x:c>
      <x:c r="AF25" s="12">
        <x:f>P25+Q25+R25+S25+T25+U25</x:f>
        <x:v>24</x:v>
      </x:c>
      <x:c r="AG25" s="12">
        <x:f>AE25+AF25</x:f>
        <x:v>26</x:v>
      </x:c>
      <x:c r="AH25" s="12">
        <x:f>E25*1+F25*0.7+G25*0.4+H25*0.1+I25*0.1</x:f>
        <x:v>32082.769999999997</x:v>
      </x:c>
      <x:c r="AI25" s="12">
        <x:f>IFERROR(AE25/D25,"")</x:f>
        <x:v>0.00004625368294950485</x:v>
      </x:c>
      <x:c r="AJ25" s="13">
        <x:f>IFERROR(AE25/AG25,"")</x:f>
        <x:v>0.07692307692307693</x:v>
      </x:c>
      <x:c r="AK25" s="13">
        <x:f>IFERROR(E25/D25,"")</x:f>
        <x:v>0.3919328951567768</x:v>
      </x:c>
      <x:c r="AL25" s="13">
        <x:f>IFERROR((F25+G25)/D25,"")</x:f>
        <x:v>0.608067104843223</x:v>
      </x:c>
      <x:c r="AM25" s="13">
        <x:f>IFERROR((H25+I25)/D25,"")</x:f>
        <x:v>0</x:v>
      </x:c>
    </x:row>
    <x:row r="26">
      <x:c r="A26" s="9" t="n">
        <x:v>10000849</x:v>
      </x:c>
      <x:c r="B26" s="10" t="n">
        <x:v>45197</x:v>
      </x:c>
      <x:c r="C26" s="9" t="n">
        <x:v>2225.633333333333</x:v>
      </x:c>
      <x:c r="D26" s="9" t="n">
        <x:v>57732.6999999999</x:v>
      </x:c>
      <x:c r="E26" s="9" t="n">
        <x:v>26922.1999999999</x:v>
      </x:c>
      <x:c r="F26" s="9" t="n">
        <x:v>21488.5</x:v>
      </x:c>
      <x:c r="G26" s="9" t="n">
        <x:v>8020</x:v>
      </x:c>
      <x:c r="H26" s="9" t="n">
        <x:v>1302</x:v>
      </x:c>
      <x:c r="I26" s="9" t="n"/>
      <x:c r="J26" s="9" t="n">
        <x:v>136719</x:v>
      </x:c>
      <x:c r="K26" s="11" t="n">
        <x:v>0.005383304441957592</x:v>
      </x:c>
      <x:c r="L26" s="11" t="n">
        <x:v>0.04252517938252913</x:v>
      </x:c>
      <x:c r="M26" s="11" t="n">
        <x:v>0.1548358311573373</x:v>
      </x:c>
      <x:c r="N26" s="11" t="n">
        <x:v>0.4806208354361866</x:v>
      </x:c>
      <x:c r="O26" s="11" t="n">
        <x:v>0.2510623980573293</x:v>
      </x:c>
      <x:c r="P26" s="9" t="n">
        <x:v>3</x:v>
      </x:c>
      <x:c r="Q26" s="9" t="n">
        <x:v>2</x:v>
      </x:c>
      <x:c r="R26" s="9" t="n">
        <x:v>13</x:v>
      </x:c>
      <x:c r="S26" s="9" t="n">
        <x:v>4</x:v>
      </x:c>
      <x:c r="T26" s="9" t="n">
        <x:v>1</x:v>
      </x:c>
      <x:c r="U26" s="9" t="n">
        <x:v>5</x:v>
      </x:c>
      <x:c r="V26" s="9" t="n">
        <x:v>1</x:v>
      </x:c>
      <x:c r="W26" s="9" t="n">
        <x:v>1</x:v>
      </x:c>
      <x:c r="X26" s="9" t="n">
        <x:v>0</x:v>
      </x:c>
      <x:c r="Y26" s="9" t="n">
        <x:v>39.85831052727607</x:v>
      </x:c>
      <x:c r="Z26" s="11" t="n">
        <x:v>0.02361399627099016</x:v>
      </x:c>
      <x:c r="AA26" s="11" t="n">
        <x:v>0.5247749651028938</x:v>
      </x:c>
      <x:c r="AB26" s="12">
        <x:f>LN(C26+1)</x:f>
        <x:v>7.708246007690649</x:v>
      </x:c>
      <x:c r="AC26" s="12">
        <x:f>G26+H26+I26</x:f>
        <x:v>9322</x:v>
      </x:c>
      <x:c r="AD26" s="12">
        <x:f>J26*(N26+O26)</x:f>
        <x:v>100035</x:v>
      </x:c>
      <x:c r="AE26" s="12">
        <x:f>V26+W26+X26</x:f>
        <x:v>2</x:v>
      </x:c>
      <x:c r="AF26" s="12">
        <x:f>P26+Q26+R26+S26+T26+U26</x:f>
        <x:v>28</x:v>
      </x:c>
      <x:c r="AG26" s="12">
        <x:f>AE26+AF26</x:f>
        <x:v>30</x:v>
      </x:c>
      <x:c r="AH26" s="12">
        <x:f>E26*1+F26*0.7+G26*0.4+H26*0.1+I26*0.1</x:f>
        <x:v>45302.3499999999</x:v>
      </x:c>
      <x:c r="AI26" s="12">
        <x:f>IFERROR(AE26/D26,"")</x:f>
        <x:v>0.00003464241235902709</x:v>
      </x:c>
      <x:c r="AJ26" s="13">
        <x:f>IFERROR(AE26/AG26,"")</x:f>
        <x:v>0.06666666666666667</x:v>
      </x:c>
      <x:c r="AK26" s="13">
        <x:f>IFERROR(E26/D26,"")</x:f>
        <x:v>0.4663249770060978</x:v>
      </x:c>
      <x:c r="AL26" s="13">
        <x:f>IFERROR((F26+G26)/D26,"")</x:f>
        <x:v>0.5111228125481755</x:v>
      </x:c>
      <x:c r="AM26" s="13">
        <x:f>IFERROR((H26+I26)/D26,"")</x:f>
        <x:v>0.022552210445726636</x:v>
      </x:c>
    </x:row>
    <x:row r="27">
      <x:c r="A27" s="9" t="n">
        <x:v>10000861</x:v>
      </x:c>
      <x:c r="B27" s="10" t="n">
        <x:v>45221</x:v>
      </x:c>
      <x:c r="C27" s="9" t="n">
        <x:v>2297.566666666667</x:v>
      </x:c>
      <x:c r="D27" s="9" t="n">
        <x:v>63907</x:v>
      </x:c>
      <x:c r="E27" s="9" t="n">
        <x:v>36421.5</x:v>
      </x:c>
      <x:c r="F27" s="9" t="n">
        <x:v>15309</x:v>
      </x:c>
      <x:c r="G27" s="9" t="n">
        <x:v>12176.5</x:v>
      </x:c>
      <x:c r="H27" s="9" t="n"/>
      <x:c r="I27" s="9" t="n"/>
      <x:c r="J27" s="9" t="n">
        <x:v>218130</x:v>
      </x:c>
      <x:c r="K27" s="11" t="n">
        <x:v>0.003053225140970981</x:v>
      </x:c>
      <x:c r="L27" s="11" t="n">
        <x:v>0.02507220464860404</x:v>
      </x:c>
      <x:c r="M27" s="11" t="n">
        <x:v>0.1069866593315913</x:v>
      </x:c>
      <x:c r="N27" s="11" t="n">
        <x:v>0.4400678494475772</x:v>
      </x:c>
      <x:c r="O27" s="11" t="n">
        <x:v>0.3571769128501353</x:v>
      </x:c>
      <x:c r="P27" s="9" t="n">
        <x:v>5</x:v>
      </x:c>
      <x:c r="Q27" s="9" t="n">
        <x:v>1</x:v>
      </x:c>
      <x:c r="R27" s="9" t="n">
        <x:v>33</x:v>
      </x:c>
      <x:c r="S27" s="9" t="n">
        <x:v>2</x:v>
      </x:c>
      <x:c r="T27" s="9" t="n">
        <x:v>3</x:v>
      </x:c>
      <x:c r="U27" s="9" t="n">
        <x:v>7</x:v>
      </x:c>
      <x:c r="V27" s="9" t="n">
        <x:v>0</x:v>
      </x:c>
      <x:c r="W27" s="9" t="n">
        <x:v>2</x:v>
      </x:c>
      <x:c r="X27" s="9" t="n">
        <x:v>0</x:v>
      </x:c>
      <x:c r="Y27" s="9" t="n">
        <x:v>69.7525030525031</x:v>
      </x:c>
      <x:c r="Z27" s="11" t="n">
        <x:v>0.04684123322068357</x:v>
      </x:c>
      <x:c r="AA27" s="11" t="n">
        <x:v>0.7533238679458983</x:v>
      </x:c>
      <x:c r="AB27" s="12">
        <x:f>LN(C27+1)</x:f>
        <x:v>7.740041019248837</x:v>
      </x:c>
      <x:c r="AC27" s="12">
        <x:f>G27+H27+I27</x:f>
        <x:v>12176.5</x:v>
      </x:c>
      <x:c r="AD27" s="12">
        <x:f>J27*(N27+O27)</x:f>
        <x:v>173903.00000000003</x:v>
      </x:c>
      <x:c r="AE27" s="12">
        <x:f>V27+W27+X27</x:f>
        <x:v>2</x:v>
      </x:c>
      <x:c r="AF27" s="12">
        <x:f>P27+Q27+R27+S27+T27+U27</x:f>
        <x:v>51</x:v>
      </x:c>
      <x:c r="AG27" s="12">
        <x:f>AE27+AF27</x:f>
        <x:v>53</x:v>
      </x:c>
      <x:c r="AH27" s="12">
        <x:f>E27*1+F27*0.7+G27*0.4+H27*0.1+I27*0.1</x:f>
        <x:v>52008.4</x:v>
      </x:c>
      <x:c r="AI27" s="12">
        <x:f>IFERROR(AE27/D27,"")</x:f>
        <x:v>0.00003129547623890967</x:v>
      </x:c>
      <x:c r="AJ27" s="13">
        <x:f>IFERROR(AE27/AG27,"")</x:f>
        <x:v>0.03773584905660377</x:v>
      </x:c>
      <x:c r="AK27" s="13">
        <x:f>IFERROR(E27/D27,"")</x:f>
        <x:v>0.5699140939177242</x:v>
      </x:c>
      <x:c r="AL27" s="13">
        <x:f>IFERROR((F27+G27)/D27,"")</x:f>
        <x:v>0.4300859060822758</x:v>
      </x:c>
      <x:c r="AM27" s="13">
        <x:f>IFERROR((H27+I27)/D27,"")</x:f>
        <x:v>0</x:v>
      </x:c>
    </x:row>
    <x:row r="28">
      <x:c r="A28" s="9" t="n">
        <x:v>10000867</x:v>
      </x:c>
      <x:c r="B28" s="10" t="n">
        <x:v>45226</x:v>
      </x:c>
      <x:c r="C28" s="9" t="n">
        <x:v>1332.3</x:v>
      </x:c>
      <x:c r="D28" s="9" t="n">
        <x:v>46744.39999999999</x:v>
      </x:c>
      <x:c r="E28" s="9" t="n">
        <x:v>31643.6</x:v>
      </x:c>
      <x:c r="F28" s="9" t="n">
        <x:v>11886.8</x:v>
      </x:c>
      <x:c r="G28" s="9" t="n">
        <x:v>3214</x:v>
      </x:c>
      <x:c r="H28" s="9" t="n"/>
      <x:c r="I28" s="9" t="n"/>
      <x:c r="J28" s="9" t="n">
        <x:v>147740</x:v>
      </x:c>
      <x:c r="K28" s="11" t="n">
        <x:v>0.00450791931772032</x:v>
      </x:c>
      <x:c r="L28" s="11" t="n">
        <x:v>0.03796534452416407</x:v>
      </x:c>
      <x:c r="M28" s="11" t="n">
        <x:v>0.1371057262758901</x:v>
      </x:c>
      <x:c r="N28" s="11" t="n">
        <x:v>0.4391566265060241</x:v>
      </x:c>
      <x:c r="O28" s="11" t="n">
        <x:v>0.2912819818600244</x:v>
      </x:c>
      <x:c r="P28" s="9" t="n">
        <x:v>1</x:v>
      </x:c>
      <x:c r="Q28" s="9" t="n">
        <x:v>0</x:v>
      </x:c>
      <x:c r="R28" s="9" t="n">
        <x:v>23</x:v>
      </x:c>
      <x:c r="S28" s="9" t="n">
        <x:v>4</x:v>
      </x:c>
      <x:c r="T28" s="9" t="n">
        <x:v>4</x:v>
      </x:c>
      <x:c r="U28" s="9" t="n">
        <x:v>3</x:v>
      </x:c>
      <x:c r="V28" s="9" t="n">
        <x:v>0</x:v>
      </x:c>
      <x:c r="W28" s="9" t="n">
        <x:v>0</x:v>
      </x:c>
      <x:c r="X28" s="9" t="n">
        <x:v>0</x:v>
      </x:c>
      <x:c r="Y28" s="9" t="n">
        <x:v>36.89580789580791</x:v>
      </x:c>
      <x:c r="Z28" s="11" t="n">
        <x:v>0.03815359811807066</x:v>
      </x:c>
      <x:c r="AA28" s="11" t="n">
        <x:v>0.6097540122052698</x:v>
      </x:c>
      <x:c r="AB28" s="12">
        <x:f>LN(C28+1)</x:f>
        <x:v>7.195412351121413</x:v>
      </x:c>
      <x:c r="AC28" s="12">
        <x:f>G28+H28+I28</x:f>
        <x:v>3214</x:v>
      </x:c>
      <x:c r="AD28" s="12">
        <x:f>J28*(N28+O28)</x:f>
        <x:v>107915.00000000001</x:v>
      </x:c>
      <x:c r="AE28" s="12">
        <x:f>V28+W28+X28</x:f>
        <x:v>0</x:v>
      </x:c>
      <x:c r="AF28" s="12">
        <x:f>P28+Q28+R28+S28+T28+U28</x:f>
        <x:v>35</x:v>
      </x:c>
      <x:c r="AG28" s="12">
        <x:f>AE28+AF28</x:f>
        <x:v>35</x:v>
      </x:c>
      <x:c r="AH28" s="12">
        <x:f>E28*1+F28*0.7+G28*0.4+H28*0.1+I28*0.1</x:f>
        <x:v>41249.96</x:v>
      </x:c>
      <x:c r="AI28" s="12">
        <x:f>IFERROR(AE28/D28,"")</x:f>
        <x:v>0</x:v>
      </x:c>
      <x:c r="AJ28" s="13">
        <x:f>IFERROR(AE28/AG28,"")</x:f>
        <x:v>0</x:v>
      </x:c>
      <x:c r="AK28" s="13">
        <x:f>IFERROR(E28/D28,"")</x:f>
        <x:v>0.6769495383404217</x:v>
      </x:c>
      <x:c r="AL28" s="13">
        <x:f>IFERROR((F28+G28)/D28,"")</x:f>
        <x:v>0.32305046165957857</x:v>
      </x:c>
      <x:c r="AM28" s="13">
        <x:f>IFERROR((H28+I28)/D28,"")</x:f>
        <x:v>0</x:v>
      </x:c>
    </x:row>
    <x:row r="29">
      <x:c r="A29" s="9" t="n">
        <x:v>10000868</x:v>
      </x:c>
      <x:c r="B29" s="10" t="n">
        <x:v>45240</x:v>
      </x:c>
      <x:c r="C29" s="9" t="n">
        <x:v>1252.5</x:v>
      </x:c>
      <x:c r="D29" s="9" t="n">
        <x:v>47778.6</x:v>
      </x:c>
      <x:c r="E29" s="9" t="n">
        <x:v>26378.3</x:v>
      </x:c>
      <x:c r="F29" s="9" t="n">
        <x:v>14741.2</x:v>
      </x:c>
      <x:c r="G29" s="9" t="n">
        <x:v>6659.1</x:v>
      </x:c>
      <x:c r="H29" s="9" t="n"/>
      <x:c r="I29" s="9" t="n"/>
      <x:c r="J29" s="9" t="n">
        <x:v>113580</x:v>
      </x:c>
      <x:c r="K29" s="11" t="n">
        <x:v>0.002702940658566649</x:v>
      </x:c>
      <x:c r="L29" s="11" t="n">
        <x:v>0.02729353759464695</x:v>
      </x:c>
      <x:c r="M29" s="11" t="n">
        <x:v>0.1257703821095263</x:v>
      </x:c>
      <x:c r="N29" s="11" t="n">
        <x:v>0.4809033280507132</x:v>
      </x:c>
      <x:c r="O29" s="11" t="n">
        <x:v>0.2869783412572636</x:v>
      </x:c>
      <x:c r="P29" s="9" t="n">
        <x:v>5</x:v>
      </x:c>
      <x:c r="Q29" s="9" t="n">
        <x:v>2</x:v>
      </x:c>
      <x:c r="R29" s="9" t="n">
        <x:v>11</x:v>
      </x:c>
      <x:c r="S29" s="9" t="n">
        <x:v>4</x:v>
      </x:c>
      <x:c r="T29" s="9" t="n">
        <x:v>5</x:v>
      </x:c>
      <x:c r="U29" s="9" t="n">
        <x:v>3</x:v>
      </x:c>
      <x:c r="V29" s="9" t="n">
        <x:v>0</x:v>
      </x:c>
      <x:c r="W29" s="9" t="n">
        <x:v>3</x:v>
      </x:c>
      <x:c r="X29" s="9" t="n">
        <x:v>0</x:v>
      </x:c>
      <x:c r="Y29" s="9" t="n">
        <x:v>29.38042165242166</x:v>
      </x:c>
      <x:c r="Z29" s="11" t="n">
        <x:v>0.02817937032496977</x:v>
      </x:c>
      <x:c r="AA29" s="11" t="n">
        <x:v>0.5609686788897381</x:v>
      </x:c>
      <x:c r="AB29" s="12">
        <x:f>LN(C29+1)</x:f>
        <x:v>7.133694917598348</x:v>
      </x:c>
      <x:c r="AC29" s="12">
        <x:f>G29+H29+I29</x:f>
        <x:v>6659.1</x:v>
      </x:c>
      <x:c r="AD29" s="12">
        <x:f>J29*(N29+O29)</x:f>
        <x:v>87216.00000000001</x:v>
      </x:c>
      <x:c r="AE29" s="12">
        <x:f>V29+W29+X29</x:f>
        <x:v>3</x:v>
      </x:c>
      <x:c r="AF29" s="12">
        <x:f>P29+Q29+R29+S29+T29+U29</x:f>
        <x:v>30</x:v>
      </x:c>
      <x:c r="AG29" s="12">
        <x:f>AE29+AF29</x:f>
        <x:v>33</x:v>
      </x:c>
      <x:c r="AH29" s="12">
        <x:f>E29*1+F29*0.7+G29*0.4+H29*0.1+I29*0.1</x:f>
        <x:v>39360.78</x:v>
      </x:c>
      <x:c r="AI29" s="12">
        <x:f>IFERROR(AE29/D29,"")</x:f>
        <x:v>0.00006278961710891487</x:v>
      </x:c>
      <x:c r="AJ29" s="13">
        <x:f>IFERROR(AE29/AG29,"")</x:f>
        <x:v>0.09090909090909091</x:v>
      </x:c>
      <x:c r="AK29" s="13">
        <x:f>IFERROR(E29/D29,"")</x:f>
        <x:v>0.5520944523280297</x:v>
      </x:c>
      <x:c r="AL29" s="13">
        <x:f>IFERROR((F29+G29)/D29,"")</x:f>
        <x:v>0.4479055476719704</x:v>
      </x:c>
      <x:c r="AM29" s="13">
        <x:f>IFERROR((H29+I29)/D29,"")</x:f>
        <x:v>0</x:v>
      </x:c>
    </x:row>
    <x:row r="30">
      <x:c r="A30" s="9" t="n">
        <x:v>10000869</x:v>
      </x:c>
      <x:c r="B30" s="10" t="n">
        <x:v>45348</x:v>
      </x:c>
      <x:c r="C30" s="9" t="n">
        <x:v>1540.166666666667</x:v>
      </x:c>
      <x:c r="D30" s="9" t="n">
        <x:v>42015.1</x:v>
      </x:c>
      <x:c r="E30" s="9" t="n">
        <x:v>17951.8</x:v>
      </x:c>
      <x:c r="F30" s="9" t="n">
        <x:v>8251.299999999999</x:v>
      </x:c>
      <x:c r="G30" s="9" t="n">
        <x:v>14684</x:v>
      </x:c>
      <x:c r="H30" s="9" t="n">
        <x:v>1128</x:v>
      </x:c>
      <x:c r="I30" s="9" t="n"/>
      <x:c r="J30" s="9" t="n">
        <x:v>120458</x:v>
      </x:c>
      <x:c r="K30" s="11" t="n">
        <x:v>0.006566604127579738</x:v>
      </x:c>
      <x:c r="L30" s="11" t="n">
        <x:v>0.05717345464809311</x:v>
      </x:c>
      <x:c r="M30" s="11" t="n">
        <x:v>0.1843215062511415</x:v>
      </x:c>
      <x:c r="N30" s="11" t="n">
        <x:v>0.4493765461820717</x:v>
      </x:c>
      <x:c r="O30" s="11" t="n">
        <x:v>0.2328778495409188</x:v>
      </x:c>
      <x:c r="P30" s="9" t="n">
        <x:v>2</x:v>
      </x:c>
      <x:c r="Q30" s="9" t="n">
        <x:v>0</x:v>
      </x:c>
      <x:c r="R30" s="9" t="n">
        <x:v>8</x:v>
      </x:c>
      <x:c r="S30" s="9" t="n">
        <x:v>2</x:v>
      </x:c>
      <x:c r="T30" s="9" t="n">
        <x:v>0</x:v>
      </x:c>
      <x:c r="U30" s="9" t="n">
        <x:v>0</x:v>
      </x:c>
      <x:c r="V30" s="9" t="n">
        <x:v>0</x:v>
      </x:c>
      <x:c r="W30" s="9" t="n">
        <x:v>1</x:v>
      </x:c>
      <x:c r="X30" s="9" t="n">
        <x:v>0</x:v>
      </x:c>
      <x:c r="Y30" s="9" t="n">
        <x:v>51.37944664031617</x:v>
      </x:c>
      <x:c r="Z30" s="11" t="n">
        <x:v>0.04894057466929622</x:v>
      </x:c>
      <x:c r="AA30" s="11" t="n">
        <x:v>0.726469602946734</x:v>
      </x:c>
      <x:c r="AB30" s="12">
        <x:f>LN(C30+1)</x:f>
        <x:v>7.340294984349584</x:v>
      </x:c>
      <x:c r="AC30" s="12">
        <x:f>G30+H30+I30</x:f>
        <x:v>15812</x:v>
      </x:c>
      <x:c r="AD30" s="12">
        <x:f>J30*(N30+O30)</x:f>
        <x:v>82182.99999999999</x:v>
      </x:c>
      <x:c r="AE30" s="12">
        <x:f>V30+W30+X30</x:f>
        <x:v>1</x:v>
      </x:c>
      <x:c r="AF30" s="12">
        <x:f>P30+Q30+R30+S30+T30+U30</x:f>
        <x:v>12</x:v>
      </x:c>
      <x:c r="AG30" s="12">
        <x:f>AE30+AF30</x:f>
        <x:v>13</x:v>
      </x:c>
      <x:c r="AH30" s="12">
        <x:f>E30*1+F30*0.7+G30*0.4+H30*0.1+I30*0.1</x:f>
        <x:v>29714.109999999997</x:v>
      </x:c>
      <x:c r="AI30" s="12">
        <x:f>IFERROR(AE30/D30,"")</x:f>
        <x:v>0.000023800966795271226</x:v>
      </x:c>
      <x:c r="AJ30" s="13">
        <x:f>IFERROR(AE30/AG30,"")</x:f>
        <x:v>0.07692307692307693</x:v>
      </x:c>
      <x:c r="AK30" s="13">
        <x:f>IFERROR(E30/D30,"")</x:f>
        <x:v>0.42727019571534997</x:v>
      </x:c>
      <x:c r="AL30" s="13">
        <x:f>IFERROR((F30+G30)/D30,"")</x:f>
        <x:v>0.5458823137395841</x:v>
      </x:c>
      <x:c r="AM30" s="13">
        <x:f>IFERROR((H30+I30)/D30,"")</x:f>
        <x:v>0.026847490545065942</x:v>
      </x:c>
    </x:row>
    <x:row r="31">
      <x:c r="A31" s="9" t="n">
        <x:v>10000886</x:v>
      </x:c>
      <x:c r="B31" s="10" t="n">
        <x:v>45248</x:v>
      </x:c>
      <x:c r="C31" s="9" t="n">
        <x:v>1710</x:v>
      </x:c>
      <x:c r="D31" s="9" t="n">
        <x:v>35239.8</x:v>
      </x:c>
      <x:c r="E31" s="9" t="n">
        <x:v>19440.8</x:v>
      </x:c>
      <x:c r="F31" s="9" t="n">
        <x:v>10720</x:v>
      </x:c>
      <x:c r="G31" s="9" t="n">
        <x:v>5079</x:v>
      </x:c>
      <x:c r="H31" s="9" t="n"/>
      <x:c r="I31" s="9" t="n"/>
      <x:c r="J31" s="9" t="n">
        <x:v>241909</x:v>
      </x:c>
      <x:c r="K31" s="11" t="n">
        <x:v>0.006035327333832143</x:v>
      </x:c>
      <x:c r="L31" s="11" t="n">
        <x:v>0.05384669441814897</x:v>
      </x:c>
      <x:c r="M31" s="11" t="n">
        <x:v>0.1762852973638848</x:v>
      </x:c>
      <x:c r="N31" s="11" t="n">
        <x:v>0.4196164673492925</x:v>
      </x:c>
      <x:c r="O31" s="11" t="n">
        <x:v>0.1839079984622317</x:v>
      </x:c>
      <x:c r="P31" s="9" t="n">
        <x:v>2</x:v>
      </x:c>
      <x:c r="Q31" s="9" t="n">
        <x:v>0</x:v>
      </x:c>
      <x:c r="R31" s="9" t="n">
        <x:v>61</x:v>
      </x:c>
      <x:c r="S31" s="9" t="n">
        <x:v>10</x:v>
      </x:c>
      <x:c r="T31" s="9" t="n">
        <x:v>10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v>38.6439772079772</x:v>
      </x:c>
      <x:c r="Z31" s="11" t="n">
        <x:v>0.0275570078499882</x:v>
      </x:c>
      <x:c r="AA31" s="11" t="n">
        <x:v>0.5206373800421525</x:v>
      </x:c>
      <x:c r="AB31" s="12">
        <x:f>LN(C31+1)</x:f>
        <x:v>7.444833273892193</x:v>
      </x:c>
      <x:c r="AC31" s="12">
        <x:f>G31+H31+I31</x:f>
        <x:v>5079</x:v>
      </x:c>
      <x:c r="AD31" s="12">
        <x:f>J31*(N31+O31)</x:f>
        <x:v>145998</x:v>
      </x:c>
      <x:c r="AE31" s="12">
        <x:f>V31+W31+X31</x:f>
        <x:v>0</x:v>
      </x:c>
      <x:c r="AF31" s="12">
        <x:f>P31+Q31+R31+S31+T31+U31</x:f>
        <x:v>83</x:v>
      </x:c>
      <x:c r="AG31" s="12">
        <x:f>AE31+AF31</x:f>
        <x:v>83</x:v>
      </x:c>
      <x:c r="AH31" s="12">
        <x:f>E31*1+F31*0.7+G31*0.4+H31*0.1+I31*0.1</x:f>
        <x:v>28976.399999999998</x:v>
      </x:c>
      <x:c r="AI31" s="12">
        <x:f>IFERROR(AE31/D31,"")</x:f>
        <x:v>0</x:v>
      </x:c>
      <x:c r="AJ31" s="13">
        <x:f>IFERROR(AE31/AG31,"")</x:f>
        <x:v>0</x:v>
      </x:c>
      <x:c r="AK31" s="13">
        <x:f>IFERROR(E31/D31,"")</x:f>
        <x:v>0.551671689396648</x:v>
      </x:c>
      <x:c r="AL31" s="13">
        <x:f>IFERROR((F31+G31)/D31,"")</x:f>
        <x:v>0.4483283106033519</x:v>
      </x:c>
      <x:c r="AM31" s="13">
        <x:f>IFERROR((H31+I31)/D31,"")</x:f>
        <x:v>0</x:v>
      </x:c>
    </x:row>
    <x:row r="32">
      <x:c r="A32" s="9" t="n">
        <x:v>10000888</x:v>
      </x:c>
      <x:c r="B32" s="10" t="n">
        <x:v>45260</x:v>
      </x:c>
      <x:c r="C32" s="9" t="n">
        <x:v>1257.766666666667</x:v>
      </x:c>
      <x:c r="D32" s="9" t="n">
        <x:v>42095.4</x:v>
      </x:c>
      <x:c r="E32" s="9" t="n">
        <x:v>10126.2</x:v>
      </x:c>
      <x:c r="F32" s="9" t="n">
        <x:v>14413</x:v>
      </x:c>
      <x:c r="G32" s="9" t="n">
        <x:v>6004</x:v>
      </x:c>
      <x:c r="H32" s="9" t="n">
        <x:v>2208</x:v>
      </x:c>
      <x:c r="I32" s="9" t="n">
        <x:v>9344.200000000001</x:v>
      </x:c>
      <x:c r="J32" s="9" t="n">
        <x:v>102556</x:v>
      </x:c>
      <x:c r="K32" s="11" t="n">
        <x:v>0.007400834665938609</x:v>
      </x:c>
      <x:c r="L32" s="11" t="n">
        <x:v>0.06731931822613986</x:v>
      </x:c>
      <x:c r="M32" s="11" t="n">
        <x:v>0.2306642224735754</x:v>
      </x:c>
      <x:c r="N32" s="11" t="n">
        <x:v>0.4821853426420687</x:v>
      </x:c>
      <x:c r="O32" s="11" t="n">
        <x:v>0.1427902804321541</x:v>
      </x:c>
      <x:c r="P32" s="9" t="n">
        <x:v>3</x:v>
      </x:c>
      <x:c r="Q32" s="9" t="n">
        <x:v>0</x:v>
      </x:c>
      <x:c r="R32" s="9" t="n">
        <x:v>1</x:v>
      </x:c>
      <x:c r="S32" s="9" t="n">
        <x:v>5</x:v>
      </x:c>
      <x:c r="T32" s="9" t="n">
        <x:v>3</x:v>
      </x:c>
      <x:c r="U32" s="9" t="n">
        <x:v>1</x:v>
      </x:c>
      <x:c r="V32" s="9" t="n">
        <x:v>0</x:v>
      </x:c>
      <x:c r="W32" s="9" t="n">
        <x:v>1</x:v>
      </x:c>
      <x:c r="X32" s="9" t="n">
        <x:v>0</x:v>
      </x:c>
      <x:c r="Y32" s="9" t="n">
        <x:v>34.34578917378918</x:v>
      </x:c>
      <x:c r="Z32" s="11" t="n">
        <x:v>0.03329414016359057</x:v>
      </x:c>
      <x:c r="AA32" s="11" t="n">
        <x:v>0.4532996144781526</x:v>
      </x:c>
      <x:c r="AB32" s="12">
        <x:f>LN(C32+1)</x:f>
        <x:v>7.137887684593908</x:v>
      </x:c>
      <x:c r="AC32" s="12">
        <x:f>G32+H32+I32</x:f>
        <x:v>17556.2</x:v>
      </x:c>
      <x:c r="AD32" s="12">
        <x:f>J32*(N32+O32)</x:f>
        <x:v>64095</x:v>
      </x:c>
      <x:c r="AE32" s="12">
        <x:f>V32+W32+X32</x:f>
        <x:v>1</x:v>
      </x:c>
      <x:c r="AF32" s="12">
        <x:f>P32+Q32+R32+S32+T32+U32</x:f>
        <x:v>13</x:v>
      </x:c>
      <x:c r="AG32" s="12">
        <x:f>AE32+AF32</x:f>
        <x:v>14</x:v>
      </x:c>
      <x:c r="AH32" s="12">
        <x:f>E32*1+F32*0.7+G32*0.4+H32*0.1+I32*0.1</x:f>
        <x:v>23772.119999999995</x:v>
      </x:c>
      <x:c r="AI32" s="12">
        <x:f>IFERROR(AE32/D32,"")</x:f>
        <x:v>0.00002375556474104059</x:v>
      </x:c>
      <x:c r="AJ32" s="13">
        <x:f>IFERROR(AE32/AG32,"")</x:f>
        <x:v>0.07142857142857142</x:v>
      </x:c>
      <x:c r="AK32" s="13">
        <x:f>IFERROR(E32/D32,"")</x:f>
        <x:v>0.2405535996807252</x:v>
      </x:c>
      <x:c r="AL32" s="13">
        <x:f>IFERROR((F32+G32)/D32,"")</x:f>
        <x:v>0.4850173653178257</x:v>
      </x:c>
      <x:c r="AM32" s="13">
        <x:f>IFERROR((H32+I32)/D32,"")</x:f>
        <x:v>0.2744290350014491</x:v>
      </x:c>
    </x:row>
    <x:row r="33">
      <x:c r="A33" s="9" t="n">
        <x:v>10000920</x:v>
      </x:c>
      <x:c r="B33" s="10" t="n">
        <x:v>45271</x:v>
      </x:c>
      <x:c r="C33" s="9" t="n">
        <x:v>1660.766666666667</x:v>
      </x:c>
      <x:c r="D33" s="9" t="n">
        <x:v>69892.8</x:v>
      </x:c>
      <x:c r="E33" s="9" t="n">
        <x:v>27685.4</x:v>
      </x:c>
      <x:c r="F33" s="9" t="n">
        <x:v>25324.5</x:v>
      </x:c>
      <x:c r="G33" s="9" t="n">
        <x:v>7626.9</x:v>
      </x:c>
      <x:c r="H33" s="9" t="n">
        <x:v>9256</x:v>
      </x:c>
      <x:c r="I33" s="9" t="n"/>
      <x:c r="J33" s="9" t="n">
        <x:v>228688</x:v>
      </x:c>
      <x:c r="K33" s="11" t="n">
        <x:v>0.01106310781501434</x:v>
      </x:c>
      <x:c r="L33" s="11" t="n">
        <x:v>0.1034509899951025</x:v>
      </x:c>
      <x:c r="M33" s="11" t="n">
        <x:v>0.277976981739313</x:v>
      </x:c>
      <x:c r="N33" s="11" t="n">
        <x:v>0.4072579234590359</x:v>
      </x:c>
      <x:c r="O33" s="11" t="n">
        <x:v>0.1218297418316659</x:v>
      </x:c>
      <x:c r="P33" s="9" t="n">
        <x:v>5</x:v>
      </x:c>
      <x:c r="Q33" s="9" t="n">
        <x:v>0</x:v>
      </x:c>
      <x:c r="R33" s="9" t="n">
        <x:v>15</x:v>
      </x:c>
      <x:c r="S33" s="9" t="n">
        <x:v>2</x:v>
      </x:c>
      <x:c r="T33" s="9" t="n">
        <x:v>2</x:v>
      </x:c>
      <x:c r="U33" s="9" t="n">
        <x:v>2</x:v>
      </x:c>
      <x:c r="V33" s="9" t="n">
        <x:v>1</x:v>
      </x:c>
      <x:c r="W33" s="9" t="n">
        <x:v>1</x:v>
      </x:c>
      <x:c r="X33" s="9" t="n">
        <x:v>0</x:v>
      </x:c>
      <x:c r="Y33" s="9" t="n">
        <x:v>32.20543589743586</x:v>
      </x:c>
      <x:c r="Z33" s="11" t="n">
        <x:v>0.02251139610616787</x:v>
      </x:c>
      <x:c r="AA33" s="11" t="n">
        <x:v>0.3827358632826621</x:v>
      </x:c>
      <x:c r="AB33" s="12">
        <x:f>LN(C33+1)</x:f>
        <x:v>7.415636572458678</x:v>
      </x:c>
      <x:c r="AC33" s="12">
        <x:f>G33+H33+I33</x:f>
        <x:v>16882.9</x:v>
      </x:c>
      <x:c r="AD33" s="12">
        <x:f>J33*(N33+O33)</x:f>
        <x:v>120996</x:v>
      </x:c>
      <x:c r="AE33" s="12">
        <x:f>V33+W33+X33</x:f>
        <x:v>2</x:v>
      </x:c>
      <x:c r="AF33" s="12">
        <x:f>P33+Q33+R33+S33+T33+U33</x:f>
        <x:v>26</x:v>
      </x:c>
      <x:c r="AG33" s="12">
        <x:f>AE33+AF33</x:f>
        <x:v>28</x:v>
      </x:c>
      <x:c r="AH33" s="12">
        <x:f>E33*1+F33*0.7+G33*0.4+H33*0.1+I33*0.1</x:f>
        <x:v>49388.91</x:v>
      </x:c>
      <x:c r="AI33" s="12">
        <x:f>IFERROR(AE33/D33,"")</x:f>
        <x:v>0.00002861525078405787</x:v>
      </x:c>
      <x:c r="AJ33" s="13">
        <x:f>IFERROR(AE33/AG33,"")</x:f>
        <x:v>0.07142857142857142</x:v>
      </x:c>
      <x:c r="AK33" s="13">
        <x:f>IFERROR(E33/D33,"")</x:f>
        <x:v>0.3961123320284779</x:v>
      </x:c>
      <x:c r="AL33" s="13">
        <x:f>IFERROR((F33+G33)/D33,"")</x:f>
        <x:v>0.4714562873429023</x:v>
      </x:c>
      <x:c r="AM33" s="13">
        <x:f>IFERROR((H33+I33)/D33,"")</x:f>
        <x:v>0.1324313806286198</x:v>
      </x:c>
    </x:row>
    <x:row r="34">
      <x:c r="A34" s="9" t="n">
        <x:v>10000921</x:v>
      </x:c>
      <x:c r="B34" s="10" t="n">
        <x:v>45284</x:v>
      </x:c>
      <x:c r="C34" s="9" t="n">
        <x:v>1442.466666666667</x:v>
      </x:c>
      <x:c r="D34" s="9" t="n">
        <x:v>39068.79999999989</x:v>
      </x:c>
      <x:c r="E34" s="9" t="n">
        <x:v>25251.1999999999</x:v>
      </x:c>
      <x:c r="F34" s="9" t="n">
        <x:v>13808</x:v>
      </x:c>
      <x:c r="G34" s="9" t="n">
        <x:v>9.6</x:v>
      </x:c>
      <x:c r="H34" s="9" t="n"/>
      <x:c r="I34" s="9" t="n"/>
      <x:c r="J34" s="9" t="n">
        <x:v>103246</x:v>
      </x:c>
      <x:c r="K34" s="11" t="n">
        <x:v>0.007554772097708386</x:v>
      </x:c>
      <x:c r="L34" s="11" t="n">
        <x:v>0.07247738411173314</x:v>
      </x:c>
      <x:c r="M34" s="11" t="n">
        <x:v>0.2098676946322376</x:v>
      </x:c>
      <x:c r="N34" s="11" t="n">
        <x:v>0.4561629506227844</x:v>
      </x:c>
      <x:c r="O34" s="11" t="n">
        <x:v>0.1824477461596575</x:v>
      </x:c>
      <x:c r="P34" s="9" t="n">
        <x:v>5</x:v>
      </x:c>
      <x:c r="Q34" s="9" t="n">
        <x:v>0</x:v>
      </x:c>
      <x:c r="R34" s="9" t="n">
        <x:v>9</x:v>
      </x:c>
      <x:c r="S34" s="9" t="n">
        <x:v>2</x:v>
      </x:c>
      <x:c r="T34" s="9" t="n">
        <x:v>0</x:v>
      </x:c>
      <x:c r="U34" s="9" t="n">
        <x:v>4</x:v>
      </x:c>
      <x:c r="V34" s="9" t="n">
        <x:v>0</x:v>
      </x:c>
      <x:c r="W34" s="9" t="n">
        <x:v>2</x:v>
      </x:c>
      <x:c r="X34" s="9" t="n">
        <x:v>0</x:v>
      </x:c>
      <x:c r="Y34" s="9" t="n">
        <x:v>38.00543589743588</x:v>
      </x:c>
      <x:c r="Z34" s="11" t="n">
        <x:v>0.03375320381851261</x:v>
      </x:c>
      <x:c r="AA34" s="11" t="n">
        <x:v>0.6093572820686726</x:v>
      </x:c>
      <x:c r="AB34" s="12">
        <x:f>LN(C34+1)</x:f>
        <x:v>7.274802906814658</x:v>
      </x:c>
      <x:c r="AC34" s="12">
        <x:f>G34+H34+I34</x:f>
        <x:v>9.6</x:v>
      </x:c>
      <x:c r="AD34" s="12">
        <x:f>J34*(N34+O34)</x:f>
        <x:v>65934</x:v>
      </x:c>
      <x:c r="AE34" s="12">
        <x:f>V34+W34+X34</x:f>
        <x:v>2</x:v>
      </x:c>
      <x:c r="AF34" s="12">
        <x:f>P34+Q34+R34+S34+T34+U34</x:f>
        <x:v>20</x:v>
      </x:c>
      <x:c r="AG34" s="12">
        <x:f>AE34+AF34</x:f>
        <x:v>22</x:v>
      </x:c>
      <x:c r="AH34" s="12">
        <x:f>E34*1+F34*0.7+G34*0.4+H34*0.1+I34*0.1</x:f>
        <x:v>34920.6399999999</x:v>
      </x:c>
      <x:c r="AI34" s="12">
        <x:f>IFERROR(AE34/D34,"")</x:f>
        <x:v>0.0000511917437955608</x:v>
      </x:c>
      <x:c r="AJ34" s="13">
        <x:f>IFERROR(AE34/AG34,"")</x:f>
        <x:v>0.09090909090909091</x:v>
      </x:c>
      <x:c r="AK34" s="13">
        <x:f>IFERROR(E34/D34,"")</x:f>
        <x:v>0.6463264804652299</x:v>
      </x:c>
      <x:c r="AL34" s="13">
        <x:f>IFERROR((F34+G34)/D34,"")</x:f>
        <x:v>0.35367351953477044</x:v>
      </x:c>
      <x:c r="AM34" s="13">
        <x:f>IFERROR((H34+I34)/D34,"")</x:f>
        <x:v>0</x:v>
      </x:c>
    </x:row>
    <x:row r="35">
      <x:c r="A35" s="9" t="n">
        <x:v>10000928</x:v>
      </x:c>
      <x:c r="B35" s="10" t="n">
        <x:v>45281</x:v>
      </x:c>
      <x:c r="C35" s="9" t="n">
        <x:v>1457.966666666667</x:v>
      </x:c>
      <x:c r="D35" s="9" t="n">
        <x:v>60046</x:v>
      </x:c>
      <x:c r="E35" s="9" t="n">
        <x:v>22617</x:v>
      </x:c>
      <x:c r="F35" s="9" t="n">
        <x:v>22453.8</x:v>
      </x:c>
      <x:c r="G35" s="9" t="n">
        <x:v>11070.2</x:v>
      </x:c>
      <x:c r="H35" s="9" t="n">
        <x:v>3905</x:v>
      </x:c>
      <x:c r="I35" s="9" t="n"/>
      <x:c r="J35" s="9" t="n">
        <x:v>142026</x:v>
      </x:c>
      <x:c r="K35" s="11" t="n">
        <x:v>0.00507653528227226</x:v>
      </x:c>
      <x:c r="L35" s="11" t="n">
        <x:v>0.06327010547364567</x:v>
      </x:c>
      <x:c r="M35" s="11" t="n">
        <x:v>0.2315913987579739</x:v>
      </x:c>
      <x:c r="N35" s="11" t="n">
        <x:v>0.4835734302170025</x:v>
      </x:c>
      <x:c r="O35" s="11" t="n">
        <x:v>0.146114091786011</x:v>
      </x:c>
      <x:c r="P35" s="9" t="n">
        <x:v>4</x:v>
      </x:c>
      <x:c r="Q35" s="9" t="n">
        <x:v>0</x:v>
      </x:c>
      <x:c r="R35" s="9" t="n">
        <x:v>7</x:v>
      </x:c>
      <x:c r="S35" s="9" t="n">
        <x:v>4</x:v>
      </x:c>
      <x:c r="T35" s="9" t="n">
        <x:v>3</x:v>
      </x:c>
      <x:c r="U35" s="9" t="n">
        <x:v>2</x:v>
      </x:c>
      <x:c r="V35" s="9" t="n">
        <x:v>1</x:v>
      </x:c>
      <x:c r="W35" s="9" t="n">
        <x:v>1</x:v>
      </x:c>
      <x:c r="X35" s="9" t="n">
        <x:v>1</x:v>
      </x:c>
      <x:c r="Y35" s="9" t="n">
        <x:v>44.34330769230768</x:v>
      </x:c>
      <x:c r="Z35" s="11" t="n">
        <x:v>0.03953212990065288</x:v>
      </x:c>
      <x:c r="AA35" s="11" t="n">
        <x:v>0.6274179243123568</x:v>
      </x:c>
      <x:c r="AB35" s="12">
        <x:f>LN(C35+1)</x:f>
        <x:v>7.285483701563144</x:v>
      </x:c>
      <x:c r="AC35" s="12">
        <x:f>G35+H35+I35</x:f>
        <x:v>14975.2</x:v>
      </x:c>
      <x:c r="AD35" s="12">
        <x:f>J35*(N35+O35)</x:f>
        <x:v>89431.99999999999</x:v>
      </x:c>
      <x:c r="AE35" s="12">
        <x:f>V35+W35+X35</x:f>
        <x:v>3</x:v>
      </x:c>
      <x:c r="AF35" s="12">
        <x:f>P35+Q35+R35+S35+T35+U35</x:f>
        <x:v>20</x:v>
      </x:c>
      <x:c r="AG35" s="12">
        <x:f>AE35+AF35</x:f>
        <x:v>23</x:v>
      </x:c>
      <x:c r="AH35" s="12">
        <x:f>E35*1+F35*0.7+G35*0.4+H35*0.1+I35*0.1</x:f>
        <x:v>43153.24</x:v>
      </x:c>
      <x:c r="AI35" s="12">
        <x:f>IFERROR(AE35/D35,"")</x:f>
        <x:v>0.000049961696033041334</x:v>
      </x:c>
      <x:c r="AJ35" s="13">
        <x:f>IFERROR(AE35/AG35,"")</x:f>
        <x:v>0.13043478260869565</x:v>
      </x:c>
      <x:c r="AK35" s="13">
        <x:f>IFERROR(E35/D35,"")</x:f>
        <x:v>0.3766612263930986</x:v>
      </x:c>
      <x:c r="AL35" s="13">
        <x:f>IFERROR((F35+G35)/D35,"")</x:f>
        <x:v>0.5583052992705593</x:v>
      </x:c>
      <x:c r="AM35" s="13">
        <x:f>IFERROR((H35+I35)/D35,"")</x:f>
        <x:v>0.06503347433634214</x:v>
      </x:c>
    </x:row>
    <x:row r="36">
      <x:c r="A36" s="9" t="n">
        <x:v>10000929</x:v>
      </x:c>
      <x:c r="B36" s="10" t="n">
        <x:v>45286</x:v>
      </x:c>
      <x:c r="C36" s="9" t="n">
        <x:v>1935.166666666667</x:v>
      </x:c>
      <x:c r="D36" s="9" t="n">
        <x:v>79837.10000000001</x:v>
      </x:c>
      <x:c r="E36" s="9" t="n">
        <x:v>30410.8</x:v>
      </x:c>
      <x:c r="F36" s="9" t="n">
        <x:v>21261</x:v>
      </x:c>
      <x:c r="G36" s="9" t="n">
        <x:v>25947.5</x:v>
      </x:c>
      <x:c r="H36" s="9" t="n">
        <x:v>2217.8</x:v>
      </x:c>
      <x:c r="I36" s="9" t="n"/>
      <x:c r="J36" s="9" t="n">
        <x:v>156887</x:v>
      </x:c>
      <x:c r="K36" s="11" t="n">
        <x:v>0.005583636630186057</x:v>
      </x:c>
      <x:c r="L36" s="11" t="n">
        <x:v>0.06981457992057978</x:v>
      </x:c>
      <x:c r="M36" s="11" t="n">
        <x:v>0.2202094501137762</x:v>
      </x:c>
      <x:c r="N36" s="11" t="n">
        <x:v>0.4598405221592611</x:v>
      </x:c>
      <x:c r="O36" s="11" t="n">
        <x:v>0.1678214256120647</x:v>
      </x:c>
      <x:c r="P36" s="9" t="n">
        <x:v>7</x:v>
      </x:c>
      <x:c r="Q36" s="9" t="n">
        <x:v>0</x:v>
      </x:c>
      <x:c r="R36" s="9" t="n">
        <x:v>21</x:v>
      </x:c>
      <x:c r="S36" s="9" t="n">
        <x:v>2</x:v>
      </x:c>
      <x:c r="T36" s="9" t="n">
        <x:v>7</x:v>
      </x:c>
      <x:c r="U36" s="9" t="n">
        <x:v>6</x:v>
      </x:c>
      <x:c r="V36" s="9" t="n">
        <x:v>1</x:v>
      </x:c>
      <x:c r="W36" s="9" t="n">
        <x:v>3</x:v>
      </x:c>
      <x:c r="X36" s="9" t="n">
        <x:v>0</x:v>
      </x:c>
      <x:c r="Y36" s="9" t="n">
        <x:v>81.75743589743587</x:v>
      </x:c>
      <x:c r="Z36" s="11" t="n">
        <x:v>0.07072825341447808</x:v>
      </x:c>
      <x:c r="AA36" s="11" t="n">
        <x:v>0.7517661100747832</x:v>
      </x:c>
      <x:c r="AB36" s="12">
        <x:f>LN(C36+1)</x:f>
        <x:v>7.56846535228542</x:v>
      </x:c>
      <x:c r="AC36" s="12">
        <x:f>G36+H36+I36</x:f>
        <x:v>28165.3</x:v>
      </x:c>
      <x:c r="AD36" s="12">
        <x:f>J36*(N36+O36)</x:f>
        <x:v>98471.99999999999</x:v>
      </x:c>
      <x:c r="AE36" s="12">
        <x:f>V36+W36+X36</x:f>
        <x:v>4</x:v>
      </x:c>
      <x:c r="AF36" s="12">
        <x:f>P36+Q36+R36+S36+T36+U36</x:f>
        <x:v>43</x:v>
      </x:c>
      <x:c r="AG36" s="12">
        <x:f>AE36+AF36</x:f>
        <x:v>47</x:v>
      </x:c>
      <x:c r="AH36" s="12">
        <x:f>E36*1+F36*0.7+G36*0.4+H36*0.1+I36*0.1</x:f>
        <x:v>55894.28</x:v>
      </x:c>
      <x:c r="AI36" s="12">
        <x:f>IFERROR(AE36/D36,"")</x:f>
        <x:v>0.00005010202023871107</x:v>
      </x:c>
      <x:c r="AJ36" s="13">
        <x:f>IFERROR(AE36/AG36,"")</x:f>
        <x:v>0.0851063829787234</x:v>
      </x:c>
      <x:c r="AK36" s="13">
        <x:f>IFERROR(E36/D36,"")</x:f>
        <x:v>0.38091062926884867</x:v>
      </x:c>
      <x:c r="AL36" s="13">
        <x:f>IFERROR((F36+G36)/D36,"")</x:f>
        <x:v>0.5913103056097979</x:v>
      </x:c>
      <x:c r="AM36" s="13">
        <x:f>IFERROR((H36+I36)/D36,"")</x:f>
        <x:v>0.027779065121353357</x:v>
      </x:c>
    </x:row>
    <x:row r="37">
      <x:c r="A37" s="9" t="n">
        <x:v>10000930</x:v>
      </x:c>
      <x:c r="B37" s="10" t="n">
        <x:v>45284</x:v>
      </x:c>
      <x:c r="C37" s="9" t="n">
        <x:v>1515.733333333333</x:v>
      </x:c>
      <x:c r="D37" s="9" t="n">
        <x:v>35803.7</x:v>
      </x:c>
      <x:c r="E37" s="9" t="n">
        <x:v>22132.8</x:v>
      </x:c>
      <x:c r="F37" s="9" t="n">
        <x:v>12534.9</x:v>
      </x:c>
      <x:c r="G37" s="9" t="n">
        <x:v>1136</x:v>
      </x:c>
      <x:c r="H37" s="9" t="n"/>
      <x:c r="I37" s="9" t="n"/>
      <x:c r="J37" s="9" t="n">
        <x:v>152964</x:v>
      </x:c>
      <x:c r="K37" s="11" t="n">
        <x:v>0.01451321879657959</x:v>
      </x:c>
      <x:c r="L37" s="11" t="n">
        <x:v>0.08913208336602076</x:v>
      </x:c>
      <x:c r="M37" s="11" t="n">
        <x:v>0.2326691247613818</x:v>
      </x:c>
      <x:c r="N37" s="11" t="n">
        <x:v>0.4266951701053843</x:v>
      </x:c>
      <x:c r="O37" s="11" t="n">
        <x:v>0.1735114144504589</x:v>
      </x:c>
      <x:c r="P37" s="9" t="n">
        <x:v>3</x:v>
      </x:c>
      <x:c r="Q37" s="9" t="n">
        <x:v>0</x:v>
      </x:c>
      <x:c r="R37" s="9" t="n">
        <x:v>13</x:v>
      </x:c>
      <x:c r="S37" s="9" t="n">
        <x:v>5</x:v>
      </x:c>
      <x:c r="T37" s="9" t="n">
        <x:v>4</x:v>
      </x:c>
      <x:c r="U37" s="9" t="n">
        <x:v>1</x:v>
      </x:c>
      <x:c r="V37" s="9" t="n">
        <x:v>0</x:v>
      </x:c>
      <x:c r="W37" s="9" t="n">
        <x:v>1</x:v>
      </x:c>
      <x:c r="X37" s="9" t="n">
        <x:v>0</x:v>
      </x:c>
      <x:c r="Y37" s="9" t="n">
        <x:v>34.79874358974359</x:v>
      </x:c>
      <x:c r="Z37" s="11" t="n">
        <x:v>0.02737479693065244</x:v>
      </x:c>
      <x:c r="AA37" s="11" t="n">
        <x:v>0.535109384470705</x:v>
      </x:c>
      <x:c r="AB37" s="12">
        <x:f>LN(C37+1)</x:f>
        <x:v>7.324314178354803</x:v>
      </x:c>
      <x:c r="AC37" s="12">
        <x:f>G37+H37+I37</x:f>
        <x:v>1136</x:v>
      </x:c>
      <x:c r="AD37" s="12">
        <x:f>J37*(N37+O37)</x:f>
        <x:v>91810</x:v>
      </x:c>
      <x:c r="AE37" s="12">
        <x:f>V37+W37+X37</x:f>
        <x:v>1</x:v>
      </x:c>
      <x:c r="AF37" s="12">
        <x:f>P37+Q37+R37+S37+T37+U37</x:f>
        <x:v>26</x:v>
      </x:c>
      <x:c r="AG37" s="12">
        <x:f>AE37+AF37</x:f>
        <x:v>27</x:v>
      </x:c>
      <x:c r="AH37" s="12">
        <x:f>E37*1+F37*0.7+G37*0.4+H37*0.1+I37*0.1</x:f>
        <x:v>31361.629999999997</x:v>
      </x:c>
      <x:c r="AI37" s="12">
        <x:f>IFERROR(AE37/D37,"")</x:f>
        <x:v>0.000027930074266067476</x:v>
      </x:c>
      <x:c r="AJ37" s="13">
        <x:f>IFERROR(AE37/AG37,"")</x:f>
        <x:v>0.037037037037037035</x:v>
      </x:c>
      <x:c r="AK37" s="13">
        <x:f>IFERROR(E37/D37,"")</x:f>
        <x:v>0.6181707477160182</x:v>
      </x:c>
      <x:c r="AL37" s="13">
        <x:f>IFERROR((F37+G37)/D37,"")</x:f>
        <x:v>0.38182925228398185</x:v>
      </x:c>
      <x:c r="AM37" s="13">
        <x:f>IFERROR((H37+I37)/D37,"")</x:f>
        <x:v>0</x:v>
      </x:c>
    </x:row>
    <x:row r="38">
      <x:c r="A38" s="9" t="n">
        <x:v>10000936</x:v>
      </x:c>
      <x:c r="B38" s="10" t="n">
        <x:v>45315</x:v>
      </x:c>
      <x:c r="C38" s="9" t="n">
        <x:v>1209.333333333333</x:v>
      </x:c>
      <x:c r="D38" s="9" t="n">
        <x:v>57120.1</x:v>
      </x:c>
      <x:c r="E38" s="9" t="n">
        <x:v>18951.1</x:v>
      </x:c>
      <x:c r="F38" s="9" t="n">
        <x:v>16942</x:v>
      </x:c>
      <x:c r="G38" s="9" t="n">
        <x:v>14862</x:v>
      </x:c>
      <x:c r="H38" s="9" t="n">
        <x:v>6365</x:v>
      </x:c>
      <x:c r="I38" s="9" t="n"/>
      <x:c r="J38" s="9" t="n">
        <x:v>168268</x:v>
      </x:c>
      <x:c r="K38" s="11" t="n">
        <x:v>0.007690113390543657</x:v>
      </x:c>
      <x:c r="L38" s="11" t="n">
        <x:v>0.08422278745810255</x:v>
      </x:c>
      <x:c r="M38" s="11" t="n">
        <x:v>0.2486271899588751</x:v>
      </x:c>
      <x:c r="N38" s="11" t="n">
        <x:v>0.452331994199729</x:v>
      </x:c>
      <x:c r="O38" s="11" t="n">
        <x:v>0.133727149547151</x:v>
      </x:c>
      <x:c r="P38" s="9" t="n">
        <x:v>4</x:v>
      </x:c>
      <x:c r="Q38" s="9" t="n">
        <x:v>2</x:v>
      </x:c>
      <x:c r="R38" s="9" t="n">
        <x:v>14</x:v>
      </x:c>
      <x:c r="S38" s="9" t="n">
        <x:v>1</x:v>
      </x:c>
      <x:c r="T38" s="9" t="n">
        <x:v>4</x:v>
      </x:c>
      <x:c r="U38" s="9" t="n">
        <x:v>7</x:v>
      </x:c>
      <x:c r="V38" s="9" t="n">
        <x:v>0</x:v>
      </x:c>
      <x:c r="W38" s="9" t="n">
        <x:v>0</x:v>
      </x:c>
      <x:c r="X38" s="9" t="n">
        <x:v>0</x:v>
      </x:c>
      <x:c r="Y38" s="9" t="n">
        <x:v>26.10047826086953</x:v>
      </x:c>
      <x:c r="Z38" s="11" t="n">
        <x:v>0.02050234130421004</x:v>
      </x:c>
      <x:c r="AA38" s="11" t="n">
        <x:v>0.3269459038634784</x:v>
      </x:c>
      <x:c r="AB38" s="12">
        <x:f>LN(C38+1)</x:f>
        <x:v>7.098651082746226</x:v>
      </x:c>
      <x:c r="AC38" s="12">
        <x:f>G38+H38+I38</x:f>
        <x:v>21227</x:v>
      </x:c>
      <x:c r="AD38" s="12">
        <x:f>J38*(N38+O38)</x:f>
        <x:v>98615.00000000001</x:v>
      </x:c>
      <x:c r="AE38" s="12">
        <x:f>V38+W38+X38</x:f>
        <x:v>0</x:v>
      </x:c>
      <x:c r="AF38" s="12">
        <x:f>P38+Q38+R38+S38+T38+U38</x:f>
        <x:v>32</x:v>
      </x:c>
      <x:c r="AG38" s="12">
        <x:f>AE38+AF38</x:f>
        <x:v>32</x:v>
      </x:c>
      <x:c r="AH38" s="12">
        <x:f>E38*1+F38*0.7+G38*0.4+H38*0.1+I38*0.1</x:f>
        <x:v>37391.8</x:v>
      </x:c>
      <x:c r="AI38" s="12">
        <x:f>IFERROR(AE38/D38,"")</x:f>
        <x:v>0</x:v>
      </x:c>
      <x:c r="AJ38" s="13">
        <x:f>IFERROR(AE38/AG38,"")</x:f>
        <x:v>0</x:v>
      </x:c>
      <x:c r="AK38" s="13">
        <x:f>IFERROR(E38/D38,"")</x:f>
        <x:v>0.3317763799433124</x:v>
      </x:c>
      <x:c r="AL38" s="13">
        <x:f>IFERROR((F38+G38)/D38,"")</x:f>
        <x:v>0.5567917423113755</x:v>
      </x:c>
      <x:c r="AM38" s="13">
        <x:f>IFERROR((H38+I38)/D38,"")</x:f>
        <x:v>0.11143187774531207</x:v>
      </x:c>
    </x:row>
    <x:row r="39">
      <x:c r="A39" s="9" t="n">
        <x:v>10000957</x:v>
      </x:c>
      <x:c r="B39" s="10" t="n">
        <x:v>45355</x:v>
      </x:c>
      <x:c r="C39" s="9" t="n">
        <x:v>1836.2</x:v>
      </x:c>
      <x:c r="D39" s="9" t="n">
        <x:v>84486.59999999989</x:v>
      </x:c>
      <x:c r="E39" s="9" t="n">
        <x:v>52675.3</x:v>
      </x:c>
      <x:c r="F39" s="9" t="n">
        <x:v>25827.3999999999</x:v>
      </x:c>
      <x:c r="G39" s="9" t="n">
        <x:v>5773.9</x:v>
      </x:c>
      <x:c r="H39" s="9" t="n">
        <x:v>210</x:v>
      </x:c>
      <x:c r="I39" s="9" t="n"/>
      <x:c r="J39" s="9" t="n">
        <x:v>210436</x:v>
      </x:c>
      <x:c r="K39" s="11" t="n">
        <x:v>0.004428899998099185</x:v>
      </x:c>
      <x:c r="L39" s="11" t="n">
        <x:v>0.05392613431161968</x:v>
      </x:c>
      <x:c r="M39" s="11" t="n">
        <x:v>0.1846594689121633</x:v>
      </x:c>
      <x:c r="N39" s="11" t="n">
        <x:v>0.4425668611834477</x:v>
      </x:c>
      <x:c r="O39" s="11" t="n">
        <x:v>0.1943821399380334</x:v>
      </x:c>
      <x:c r="P39" s="9" t="n">
        <x:v>7</x:v>
      </x:c>
      <x:c r="Q39" s="9" t="n">
        <x:v>3</x:v>
      </x:c>
      <x:c r="R39" s="9" t="n">
        <x:v>24</x:v>
      </x:c>
      <x:c r="S39" s="9" t="n">
        <x:v>6</x:v>
      </x:c>
      <x:c r="T39" s="9" t="n">
        <x:v>6</x:v>
      </x:c>
      <x:c r="U39" s="9" t="n">
        <x:v>4</x:v>
      </x:c>
      <x:c r="V39" s="9" t="n">
        <x:v>0</x:v>
      </x:c>
      <x:c r="W39" s="9" t="n">
        <x:v>2</x:v>
      </x:c>
      <x:c r="X39" s="9" t="n">
        <x:v>0</x:v>
      </x:c>
      <x:c r="Y39" s="9" t="n">
        <x:v>36.68390739695088</x:v>
      </x:c>
      <x:c r="Z39" s="11" t="n">
        <x:v>0.02446645335960875</x:v>
      </x:c>
      <x:c r="AA39" s="11" t="n">
        <x:v>0.4637908777592825</x:v>
      </x:c>
      <x:c r="AB39" s="12">
        <x:f>LN(C39+1)</x:f>
        <x:v>7.515997952451638</x:v>
      </x:c>
      <x:c r="AC39" s="12">
        <x:f>G39+H39+I39</x:f>
        <x:v>5983.9</x:v>
      </x:c>
      <x:c r="AD39" s="12">
        <x:f>J39*(N39+O39)</x:f>
        <x:v>134037</x:v>
      </x:c>
      <x:c r="AE39" s="12">
        <x:f>V39+W39+X39</x:f>
        <x:v>2</x:v>
      </x:c>
      <x:c r="AF39" s="12">
        <x:f>P39+Q39+R39+S39+T39+U39</x:f>
        <x:v>50</x:v>
      </x:c>
      <x:c r="AG39" s="12">
        <x:f>AE39+AF39</x:f>
        <x:v>52</x:v>
      </x:c>
      <x:c r="AH39" s="12">
        <x:f>E39*1+F39*0.7+G39*0.4+H39*0.1+I39*0.1</x:f>
        <x:v>73085.03999999992</x:v>
      </x:c>
      <x:c r="AI39" s="12">
        <x:f>IFERROR(AE39/D39,"")</x:f>
        <x:v>0.000023672393018537883</x:v>
      </x:c>
      <x:c r="AJ39" s="13">
        <x:f>IFERROR(AE39/AG39,"")</x:f>
        <x:v>0.038461538461538464</x:v>
      </x:c>
      <x:c r="AK39" s="13">
        <x:f>IFERROR(E39/D39,"")</x:f>
        <x:v>0.6234752019846943</x:v>
      </x:c>
      <x:c r="AL39" s="13">
        <x:f>IFERROR((F39+G39)/D39,"")</x:f>
        <x:v>0.3740391967483594</x:v>
      </x:c>
      <x:c r="AM39" s="13">
        <x:f>IFERROR((H39+I39)/D39,"")</x:f>
        <x:v>0.0024856012669464776</x:v>
      </x:c>
    </x:row>
    <x:row r="40">
      <x:c r="A40" s="9" t="n">
        <x:v>10000972</x:v>
      </x:c>
      <x:c r="B40" s="10" t="n">
        <x:v>45438</x:v>
      </x:c>
      <x:c r="C40" s="9" t="n">
        <x:v>1897.866666666667</x:v>
      </x:c>
      <x:c r="D40" s="9" t="n">
        <x:v>65613.10000000001</x:v>
      </x:c>
      <x:c r="E40" s="9" t="n">
        <x:v>31105.7</x:v>
      </x:c>
      <x:c r="F40" s="9" t="n">
        <x:v>21191.4</x:v>
      </x:c>
      <x:c r="G40" s="9" t="n">
        <x:v>13120</x:v>
      </x:c>
      <x:c r="H40" s="9" t="n">
        <x:v>196</x:v>
      </x:c>
      <x:c r="I40" s="9" t="n"/>
      <x:c r="J40" s="9" t="n">
        <x:v>230148</x:v>
      </x:c>
      <x:c r="K40" s="11" t="n">
        <x:v>0.003098006500165111</x:v>
      </x:c>
      <x:c r="L40" s="11" t="n">
        <x:v>0.0276952222048421</x:v>
      </x:c>
      <x:c r="M40" s="11" t="n">
        <x:v>0.1208179084762848</x:v>
      </x:c>
      <x:c r="N40" s="11" t="n">
        <x:v>0.4552722595894815</x:v>
      </x:c>
      <x:c r="O40" s="11" t="n">
        <x:v>0.3080452578340894</x:v>
      </x:c>
      <x:c r="P40" s="9" t="n">
        <x:v>6</x:v>
      </x:c>
      <x:c r="Q40" s="9" t="n">
        <x:v>2</x:v>
      </x:c>
      <x:c r="R40" s="9" t="n">
        <x:v>28</x:v>
      </x:c>
      <x:c r="S40" s="9" t="n">
        <x:v>5</x:v>
      </x:c>
      <x:c r="T40" s="9" t="n">
        <x:v>6</x:v>
      </x:c>
      <x:c r="U40" s="9" t="n">
        <x:v>2</x:v>
      </x:c>
      <x:c r="V40" s="9" t="n">
        <x:v>0</x:v>
      </x:c>
      <x:c r="W40" s="9" t="n">
        <x:v>0</x:v>
      </x:c>
      <x:c r="X40" s="9" t="n">
        <x:v>0</x:v>
      </x:c>
      <x:c r="Y40" s="9" t="n">
        <x:v>39.92719298245613</x:v>
      </x:c>
      <x:c r="Z40" s="11" t="n">
        <x:v>0.03273114225408747</x:v>
      </x:c>
      <x:c r="AA40" s="11" t="n">
        <x:v>0.5665373764203102</x:v>
      </x:c>
      <x:c r="AB40" s="12">
        <x:f>LN(C40+1)</x:f>
        <x:v>7.549012495954793</x:v>
      </x:c>
      <x:c r="AC40" s="12">
        <x:f>G40+H40+I40</x:f>
        <x:v>13316</x:v>
      </x:c>
      <x:c r="AD40" s="12">
        <x:f>J40*(N40+O40)</x:f>
        <x:v>175676</x:v>
      </x:c>
      <x:c r="AE40" s="12">
        <x:f>V40+W40+X40</x:f>
        <x:v>0</x:v>
      </x:c>
      <x:c r="AF40" s="12">
        <x:f>P40+Q40+R40+S40+T40+U40</x:f>
        <x:v>49</x:v>
      </x:c>
      <x:c r="AG40" s="12">
        <x:f>AE40+AF40</x:f>
        <x:v>49</x:v>
      </x:c>
      <x:c r="AH40" s="12">
        <x:f>E40*1+F40*0.7+G40*0.4+H40*0.1+I40*0.1</x:f>
        <x:v>51207.28</x:v>
      </x:c>
      <x:c r="AI40" s="12">
        <x:f>IFERROR(AE40/D40,"")</x:f>
        <x:v>0</x:v>
      </x:c>
      <x:c r="AJ40" s="13">
        <x:f>IFERROR(AE40/AG40,"")</x:f>
        <x:v>0</x:v>
      </x:c>
      <x:c r="AK40" s="13">
        <x:f>IFERROR(E40/D40,"")</x:f>
        <x:v>0.4740775851163868</x:v>
      </x:c>
      <x:c r="AL40" s="13">
        <x:f>IFERROR((F40+G40)/D40,"")</x:f>
        <x:v>0.5229352065364995</x:v>
      </x:c>
      <x:c r="AM40" s="13">
        <x:f>IFERROR((H40+I40)/D40,"")</x:f>
        <x:v>0.00298720834711361</x:v>
      </x:c>
    </x:row>
    <x:row r="41">
      <x:c r="A41" s="9" t="n">
        <x:v>10000990</x:v>
      </x:c>
      <x:c r="B41" s="10" t="n">
        <x:v>45467</x:v>
      </x:c>
      <x:c r="C41" s="9" t="n">
        <x:v>2039.7</x:v>
      </x:c>
      <x:c r="D41" s="9" t="n">
        <x:v>29427.6</x:v>
      </x:c>
      <x:c r="E41" s="9" t="n">
        <x:v>21291.1</x:v>
      </x:c>
      <x:c r="F41" s="9" t="n">
        <x:v>8136.5</x:v>
      </x:c>
      <x:c r="G41" s="9" t="n"/>
      <x:c r="H41" s="9" t="n"/>
      <x:c r="I41" s="9" t="n"/>
      <x:c r="J41" s="9" t="n">
        <x:v>143375</x:v>
      </x:c>
      <x:c r="K41" s="11" t="n">
        <x:v>0.004136006974716652</x:v>
      </x:c>
      <x:c r="L41" s="11" t="n">
        <x:v>0.05175239755884917</x:v>
      </x:c>
      <x:c r="M41" s="11" t="n">
        <x:v>0.187745422842197</x:v>
      </x:c>
      <x:c r="N41" s="11" t="n">
        <x:v>0.4652275501307759</x:v>
      </x:c>
      <x:c r="O41" s="11" t="n">
        <x:v>0.2124289450741064</x:v>
      </x:c>
      <x:c r="P41" s="9" t="n">
        <x:v>4</x:v>
      </x:c>
      <x:c r="Q41" s="9" t="n">
        <x:v>3</x:v>
      </x:c>
      <x:c r="R41" s="9" t="n">
        <x:v>21</x:v>
      </x:c>
      <x:c r="S41" s="9" t="n">
        <x:v>3</x:v>
      </x:c>
      <x:c r="T41" s="9" t="n">
        <x:v>5</x:v>
      </x:c>
      <x:c r="U41" s="9" t="n">
        <x:v>4</x:v>
      </x:c>
      <x:c r="V41" s="9" t="n">
        <x:v>1</x:v>
      </x:c>
      <x:c r="W41" s="9" t="n">
        <x:v>2</x:v>
      </x:c>
      <x:c r="X41" s="9" t="n">
        <x:v>1</x:v>
      </x:c>
      <x:c r="Y41" s="9" t="n">
        <x:v>39.01649122807014</x:v>
      </x:c>
      <x:c r="Z41" s="11" t="n">
        <x:v>0.03100624965667735</x:v>
      </x:c>
      <x:c r="AA41" s="11" t="n">
        <x:v>0.3578003864634156</x:v>
      </x:c>
      <x:c r="AB41" s="12">
        <x:f>LN(C41+1)</x:f>
        <x:v>7.62104816523504</x:v>
      </x:c>
      <x:c r="AC41" s="12">
        <x:f>G41+H41+I41</x:f>
        <x:v>0</x:v>
      </x:c>
      <x:c r="AD41" s="12">
        <x:f>J41*(N41+O41)</x:f>
        <x:v>97158.99999999999</x:v>
      </x:c>
      <x:c r="AE41" s="12">
        <x:f>V41+W41+X41</x:f>
        <x:v>4</x:v>
      </x:c>
      <x:c r="AF41" s="12">
        <x:f>P41+Q41+R41+S41+T41+U41</x:f>
        <x:v>40</x:v>
      </x:c>
      <x:c r="AG41" s="12">
        <x:f>AE41+AF41</x:f>
        <x:v>44</x:v>
      </x:c>
      <x:c r="AH41" s="12">
        <x:f>E41*1+F41*0.7+G41*0.4+H41*0.1+I41*0.1</x:f>
        <x:v>26986.649999999998</x:v>
      </x:c>
      <x:c r="AI41" s="12">
        <x:f>IFERROR(AE41/D41,"")</x:f>
        <x:v>0.00013592681700172628</x:v>
      </x:c>
      <x:c r="AJ41" s="13">
        <x:f>IFERROR(AE41/AG41,"")</x:f>
        <x:v>0.09090909090909091</x:v>
      </x:c>
      <x:c r="AK41" s="13">
        <x:f>IFERROR(E41/D41,"")</x:f>
        <x:v>0.7235078633663635</x:v>
      </x:c>
      <x:c r="AL41" s="13">
        <x:f>IFERROR((F41+G41)/D41,"")</x:f>
        <x:v>0.2764921366336365</x:v>
      </x:c>
      <x:c r="AM41" s="13">
        <x:f>IFERROR((H41+I41)/D41,"")</x:f>
        <x:v>0</x:v>
      </x:c>
    </x:row>
    <x:row r="42">
      <x:c r="A42" s="9" t="n">
        <x:v>10001038</x:v>
      </x:c>
      <x:c r="B42" s="10" t="n">
        <x:v>45592</x:v>
      </x:c>
      <x:c r="C42" s="9" t="n">
        <x:v>1252.6</x:v>
      </x:c>
      <x:c r="D42" s="9" t="n">
        <x:v>50905.2</x:v>
      </x:c>
      <x:c r="E42" s="9" t="n">
        <x:v>7078</x:v>
      </x:c>
      <x:c r="F42" s="9" t="n">
        <x:v>27908.1</x:v>
      </x:c>
      <x:c r="G42" s="9" t="n">
        <x:v>10362.1</x:v>
      </x:c>
      <x:c r="H42" s="9" t="n">
        <x:v>5557</x:v>
      </x:c>
      <x:c r="I42" s="9" t="n"/>
      <x:c r="J42" s="9" t="n">
        <x:v>156202</x:v>
      </x:c>
      <x:c r="K42" s="11" t="n">
        <x:v>0.01043520569518956</x:v>
      </x:c>
      <x:c r="L42" s="11" t="n">
        <x:v>0.09213070255182391</x:v>
      </x:c>
      <x:c r="M42" s="11" t="n">
        <x:v>0.2493566023482414</x:v>
      </x:c>
      <x:c r="N42" s="11" t="n">
        <x:v>0.4329714088167885</x:v>
      </x:c>
      <x:c r="O42" s="11" t="n">
        <x:v>0.1391595498137028</x:v>
      </x:c>
      <x:c r="P42" s="9" t="n">
        <x:v>4</x:v>
      </x:c>
      <x:c r="Q42" s="9" t="n">
        <x:v>4</x:v>
      </x:c>
      <x:c r="R42" s="9" t="n">
        <x:v>14</x:v>
      </x:c>
      <x:c r="S42" s="9" t="n">
        <x:v>4</x:v>
      </x:c>
      <x:c r="T42" s="9" t="n">
        <x:v>8</x:v>
      </x:c>
      <x:c r="U42" s="9" t="n">
        <x:v>2</x:v>
      </x:c>
      <x:c r="V42" s="9" t="n">
        <x:v>1</x:v>
      </x:c>
      <x:c r="W42" s="9" t="n">
        <x:v>3</x:v>
      </x:c>
      <x:c r="X42" s="9" t="n">
        <x:v>0</x:v>
      </x:c>
      <x:c r="Y42" s="9" t="n">
        <x:v>37.60797619047621</x:v>
      </x:c>
      <x:c r="Z42" s="11" t="n">
        <x:v>0.04349353318223299</x:v>
      </x:c>
      <x:c r="AA42" s="11" t="n">
        <x:v>0.6826547323992564</x:v>
      </x:c>
      <x:c r="AB42" s="12">
        <x:f>LN(C42+1)</x:f>
        <x:v>7.133774691041811</x:v>
      </x:c>
      <x:c r="AC42" s="12">
        <x:f>G42+H42+I42</x:f>
        <x:v>15919.1</x:v>
      </x:c>
      <x:c r="AD42" s="12">
        <x:f>J42*(N42+O42)</x:f>
        <x:v>89368.00000000001</x:v>
      </x:c>
      <x:c r="AE42" s="12">
        <x:f>V42+W42+X42</x:f>
        <x:v>4</x:v>
      </x:c>
      <x:c r="AF42" s="12">
        <x:f>P42+Q42+R42+S42+T42+U42</x:f>
        <x:v>36</x:v>
      </x:c>
      <x:c r="AG42" s="12">
        <x:f>AE42+AF42</x:f>
        <x:v>40</x:v>
      </x:c>
      <x:c r="AH42" s="12">
        <x:f>E42*1+F42*0.7+G42*0.4+H42*0.1+I42*0.1</x:f>
        <x:v>31314.21</x:v>
      </x:c>
      <x:c r="AI42" s="12">
        <x:f>IFERROR(AE42/D42,"")</x:f>
        <x:v>0.00007857743413246585</x:v>
      </x:c>
      <x:c r="AJ42" s="13">
        <x:f>IFERROR(AE42/AG42,"")</x:f>
        <x:v>0.1</x:v>
      </x:c>
      <x:c r="AK42" s="13">
        <x:f>IFERROR(E42/D42,"")</x:f>
        <x:v>0.13904276969739832</x:v>
      </x:c>
      <x:c r="AL42" s="13">
        <x:f>IFERROR((F42+G42)/D42,"")</x:f>
        <x:v>0.7517935299340736</x:v>
      </x:c>
      <x:c r="AM42" s="13">
        <x:f>IFERROR((H42+I42)/D42,"")</x:f>
        <x:v>0.10916370036852817</x:v>
      </x:c>
    </x:row>
    <x:row r="43">
      <x:c r="A43" s="9" t="n">
        <x:v>10001088</x:v>
      </x:c>
      <x:c r="B43" s="10" t="n">
        <x:v>45656</x:v>
      </x:c>
      <x:c r="C43" s="9" t="n"/>
      <x:c r="D43" s="9" t="n">
        <x:v>35268.6</x:v>
      </x:c>
      <x:c r="E43" s="9" t="n">
        <x:v>19425.7</x:v>
      </x:c>
      <x:c r="F43" s="9" t="n">
        <x:v>6599</x:v>
      </x:c>
      <x:c r="G43" s="9" t="n">
        <x:v>6531.9</x:v>
      </x:c>
      <x:c r="H43" s="9" t="n">
        <x:v>2712</x:v>
      </x:c>
      <x:c r="I43" s="9" t="n"/>
      <x:c r="J43" s="9" t="n">
        <x:v>133786</x:v>
      </x:c>
      <x:c r="K43" s="11" t="n">
        <x:v>0.008954599135933506</x:v>
      </x:c>
      <x:c r="L43" s="11" t="n">
        <x:v>0.05430314083685887</x:v>
      </x:c>
      <x:c r="M43" s="11" t="n">
        <x:v>0.1994229590540116</x:v>
      </x:c>
      <x:c r="N43" s="11" t="n">
        <x:v>0.4949097812925119</x:v>
      </x:c>
      <x:c r="O43" s="11" t="n">
        <x:v>0.1747342771291465</x:v>
      </x:c>
      <x:c r="P43" s="9" t="n">
        <x:v>1</x:v>
      </x:c>
      <x:c r="Q43" s="9" t="n">
        <x:v>0</x:v>
      </x:c>
      <x:c r="R43" s="9" t="n">
        <x:v>6</x:v>
      </x:c>
      <x:c r="S43" s="9" t="n">
        <x:v>3</x:v>
      </x:c>
      <x:c r="T43" s="9" t="n">
        <x:v>2</x:v>
      </x:c>
      <x:c r="U43" s="9" t="n">
        <x:v>2</x:v>
      </x:c>
      <x:c r="V43" s="9" t="n">
        <x:v>0</x:v>
      </x:c>
      <x:c r="W43" s="9" t="n">
        <x:v>1</x:v>
      </x:c>
      <x:c r="X43" s="9" t="n">
        <x:v>0</x:v>
      </x:c>
      <x:c r="Y43" s="9" t="n">
        <x:v>54.5332167832168</x:v>
      </x:c>
      <x:c r="Z43" s="11" t="n">
        <x:v>0.03470424776917071</x:v>
      </x:c>
      <x:c r="AA43" s="11" t="n">
        <x:v>0.3516417760973255</x:v>
      </x:c>
      <x:c r="AB43" s="12">
        <x:f>LN(C43+1)</x:f>
        <x:v>0</x:v>
      </x:c>
      <x:c r="AC43" s="12">
        <x:f>G43+H43+I43</x:f>
        <x:v>9243.9</x:v>
      </x:c>
      <x:c r="AD43" s="12">
        <x:f>J43*(N43+O43)</x:f>
        <x:v>89589</x:v>
      </x:c>
      <x:c r="AE43" s="12">
        <x:f>V43+W43+X43</x:f>
        <x:v>1</x:v>
      </x:c>
      <x:c r="AF43" s="12">
        <x:f>P43+Q43+R43+S43+T43+U43</x:f>
        <x:v>14</x:v>
      </x:c>
      <x:c r="AG43" s="12">
        <x:f>AE43+AF43</x:f>
        <x:v>15</x:v>
      </x:c>
      <x:c r="AH43" s="12">
        <x:f>E43*1+F43*0.7+G43*0.4+H43*0.1+I43*0.1</x:f>
        <x:v>26928.960000000003</x:v>
      </x:c>
      <x:c r="AI43" s="12">
        <x:f>IFERROR(AE43/D43,"")</x:f>
        <x:v>0.000028353833154704184</x:v>
      </x:c>
      <x:c r="AJ43" s="13">
        <x:f>IFERROR(AE43/AG43,"")</x:f>
        <x:v>0.06666666666666667</x:v>
      </x:c>
      <x:c r="AK43" s="13">
        <x:f>IFERROR(E43/D43,"")</x:f>
        <x:v>0.5507930567133371</x:v>
      </x:c>
      <x:c r="AL43" s="13">
        <x:f>IFERROR((F43+G43)/D43,"")</x:f>
        <x:v>0.3723113477711052</x:v>
      </x:c>
      <x:c r="AM43" s="13">
        <x:f>IFERROR((H43+I43)/D43,"")</x:f>
        <x:v>0.07689559551555775</x:v>
      </x:c>
    </x:row>
  </x:sheetData>
  <x:mergeCells>
    <x:mergeCell ref="A1:A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70" customWidth="1"/>
  </x:cols>
  <x:sheetData>
    <x:row r="1">
      <x:c r="A1" s="1" t="inlineStr">
        <x:is>
          <x:t xml:space="preserve">字段名</x:t>
        </x:is>
      </x:c>
      <x:c r="B1" s="1" t="inlineStr">
        <x:is>
          <x:t xml:space="preserve">字段角色</x:t>
        </x:is>
      </x:c>
      <x:c r="C1" s="1" t="inlineStr">
        <x:is>
          <x:t xml:space="preserve">说明</x:t>
        </x:is>
      </x:c>
    </x:row>
    <x:row r="2">
      <x:c r="A2" s="3" t="inlineStr">
        <x:is>
          <x:t xml:space="preserve">M12_日均单量</x:t>
        </x:is>
      </x:c>
      <x:c r="B2" s="14" t="inlineStr">
        <x:is>
          <x:t xml:space="preserve">目标变量</x:t>
        </x:is>
      </x:c>
      <x:c r="C2" s="3" t="inlineStr">
        <x:is>
          <x:t xml:space="preserve">门店在 M12 的日均订单量。</x:t>
        </x:is>
      </x:c>
    </x:row>
    <x:row r="3">
      <x:c r="A3" s="3" t="inlineStr">
        <x:is>
          <x:t xml:space="preserve">y_log1p_M12</x:t>
        </x:is>
      </x:c>
      <x:c r="B3" s="14" t="inlineStr">
        <x:is>
          <x:t xml:space="preserve">目标变量</x:t>
        </x:is>
      </x:c>
      <x:c r="C3" s="3" t="inlineStr">
        <x:is>
          <x:t xml:space="preserve">对 M12_日均单量做 log1p 变换后的建模目标。</x:t>
        </x:is>
      </x:c>
    </x:row>
    <x:row r="4">
      <x:c r="A4" s="3" t="inlineStr">
        <x:is>
          <x:t xml:space="preserve">高等级月活人数</x:t>
        </x:is>
      </x:c>
      <x:c r="B4" s="15" t="inlineStr">
        <x:is>
          <x:t xml:space="preserve">核心变量</x:t>
        </x:is>
      </x:c>
      <x:c r="C4" s="3" t="inlineStr">
        <x:is>
          <x:t xml:space="preserve">美团月活×(L4占比+L5占比)，衡量高质量需求规模。</x:t>
        </x:is>
      </x:c>
    </x:row>
    <x:row r="5">
      <x:c r="A5" s="3" t="inlineStr">
        <x:is>
          <x:t xml:space="preserve">美团月活</x:t>
        </x:is>
      </x:c>
      <x:c r="B5" s="15" t="inlineStr">
        <x:is>
          <x:t xml:space="preserve">核心变量</x:t>
        </x:is>
      </x:c>
      <x:c r="C5" s="3" t="inlineStr">
        <x:is>
          <x:t xml:space="preserve">区域平台总体活跃流量。</x:t>
        </x:is>
      </x:c>
    </x:row>
    <x:row r="6">
      <x:c r="A6" s="3" t="inlineStr">
        <x:is>
          <x:t xml:space="preserve">距离加权覆盖户数</x:t>
        </x:is>
      </x:c>
      <x:c r="B6" s="15" t="inlineStr">
        <x:is>
          <x:t xml:space="preserve">核心变量</x:t>
        </x:is>
      </x:c>
      <x:c r="C6" s="3" t="inlineStr">
        <x:is>
          <x:t xml:space="preserve">按距离权重折算后的有效覆盖规模。</x:t>
        </x:is>
      </x:c>
    </x:row>
    <x:row r="7">
      <x:c r="A7" s="3" t="inlineStr">
        <x:is>
          <x:t xml:space="preserve">覆盖户数_0~1.5km</x:t>
        </x:is>
      </x:c>
      <x:c r="B7" s="15" t="inlineStr">
        <x:is>
          <x:t xml:space="preserve">核心变量</x:t>
        </x:is>
      </x:c>
      <x:c r="C7" s="3" t="inlineStr">
        <x:is>
          <x:t xml:space="preserve">近场有效覆盖人口。</x:t>
        </x:is>
      </x:c>
    </x:row>
    <x:row r="8">
      <x:c r="A8" s="3" t="inlineStr">
        <x:is>
          <x:t xml:space="preserve">覆盖户数_合计</x:t>
        </x:is>
      </x:c>
      <x:c r="B8" s="16" t="inlineStr">
        <x:is>
          <x:t xml:space="preserve">对照变量</x:t>
        </x:is>
      </x:c>
      <x:c r="C8" s="3" t="inlineStr">
        <x:is>
          <x:t xml:space="preserve">门店总体理论覆盖人口。</x:t>
        </x:is>
      </x:c>
    </x:row>
    <x:row r="9">
      <x:c r="A9" s="3" t="inlineStr">
        <x:is>
          <x:t xml:space="preserve">传统替代渠道数</x:t>
        </x:is>
      </x:c>
      <x:c r="B9" s="17" t="inlineStr">
        <x:is>
          <x:t xml:space="preserve">辅助变量</x:t>
        </x:is>
      </x:c>
      <x:c r="C9" s="3" t="inlineStr">
        <x:is>
          <x:t xml:space="preserve">传统商超/小店/农贸市场等替代供给总量。</x:t>
        </x:is>
      </x:c>
    </x:row>
    <x:row r="10">
      <x:c r="A10" s="3" t="inlineStr">
        <x:is>
          <x:t xml:space="preserve">即时零售竞对数</x:t>
        </x:is>
      </x:c>
      <x:c r="B10" s="18" t="inlineStr">
        <x:is>
          <x:t xml:space="preserve">控制变量</x:t>
        </x:is>
      </x:c>
      <x:c r="C10" s="3" t="inlineStr">
        <x:is>
          <x:t xml:space="preserve">SAM、叮咚买菜、盒马鲜生站点数之和。</x:t>
        </x:is>
      </x:c>
    </x:row>
    <x:row r="11">
      <x:c r="A11" s="3" t="inlineStr">
        <x:is>
          <x:t xml:space="preserve">竞争密度</x:t>
        </x:is>
      </x:c>
      <x:c r="B11" s="18" t="inlineStr">
        <x:is>
          <x:t xml:space="preserve">控制变量</x:t>
        </x:is>
      </x:c>
      <x:c r="C11" s="3" t="inlineStr">
        <x:is>
          <x:t xml:space="preserve">即时零售竞对数/覆盖户数_合计。</x:t>
        </x:is>
      </x:c>
    </x:row>
    <x:row r="12">
      <x:c r="A12" s="3" t="inlineStr">
        <x:is>
          <x:t xml:space="preserve">同质竞对占比</x:t>
        </x:is>
      </x:c>
      <x:c r="B12" s="18" t="inlineStr">
        <x:is>
          <x:t xml:space="preserve">控制变量</x:t>
        </x:is>
      </x:c>
      <x:c r="C12" s="3" t="inlineStr">
        <x:is>
          <x:t xml:space="preserve">即时零售竞对数/全部竞争供给。</x:t>
        </x:is>
      </x:c>
    </x:row>
    <x:row r="13">
      <x:c r="A13" s="3" t="inlineStr">
        <x:is>
          <x:t xml:space="preserve">近场户数占比</x:t>
        </x:is>
      </x:c>
      <x:c r="B13" s="19" t="inlineStr">
        <x:is>
          <x:t xml:space="preserve">非线性变量</x:t>
        </x:is>
      </x:c>
      <x:c r="C13" s="3" t="inlineStr">
        <x:is>
          <x:t xml:space="preserve">0~1.5km户数/覆盖户数_合计。</x:t>
        </x:is>
      </x:c>
    </x:row>
    <x:row r="14">
      <x:c r="A14" s="3" t="inlineStr">
        <x:is>
          <x:t xml:space="preserve">中场户数占比</x:t>
        </x:is>
      </x:c>
      <x:c r="B14" s="19" t="inlineStr">
        <x:is>
          <x:t xml:space="preserve">非线性变量</x:t>
        </x:is>
      </x:c>
      <x:c r="C14" s="3" t="inlineStr">
        <x:is>
          <x:t xml:space="preserve">(1.5~2.1km+2.1~2.8km)/覆盖户数_合计。</x:t>
        </x:is>
      </x:c>
    </x:row>
    <x:row r="15">
      <x:c r="A15" s="3" t="inlineStr">
        <x:is>
          <x:t xml:space="preserve">远场户数占比</x:t>
        </x:is>
      </x:c>
      <x:c r="B15" s="19" t="inlineStr">
        <x:is>
          <x:t xml:space="preserve">非线性变量</x:t>
        </x:is>
      </x:c>
      <x:c r="C15" s="3" t="inlineStr">
        <x:is>
          <x:t xml:space="preserve">(2.8~3.8km+3.8km+)/覆盖户数_合计。</x:t>
        </x:is>
      </x:c>
    </x:row>
    <x:row r="16">
      <x:c r="A16" s="3" t="inlineStr">
        <x:is>
          <x:t xml:space="preserve">回归斜率_每增加1个站龄月日均单量增加值</x:t>
        </x:is>
      </x:c>
      <x:c r="B16" s="20" t="inlineStr">
        <x:is>
          <x:t xml:space="preserve">成长性变量</x:t>
        </x:is>
      </x:c>
      <x:c r="C16" s="3" t="inlineStr">
        <x:is>
          <x:t xml:space="preserve">站龄月每增加1个月，日均单量的线性增长量。</x:t>
        </x:is>
      </x:c>
    </x:row>
    <x:row r="17">
      <x:c r="A17" s="3" t="inlineStr">
        <x:is>
          <x:t xml:space="preserve">相对月增长率_按预测M0口径</x:t>
        </x:is>
      </x:c>
      <x:c r="B17" s="20" t="inlineStr">
        <x:is>
          <x:t xml:space="preserve">成长性变量</x:t>
        </x:is>
      </x:c>
      <x:c r="C17" s="3" t="inlineStr">
        <x:is>
          <x:t xml:space="preserve">斜率/预测M0日均单量，表示相对增长率。</x:t>
        </x:is>
      </x:c>
    </x:row>
    <x:row r="18">
      <x:c r="A18" s="3" t="inlineStr">
        <x:is>
          <x:t xml:space="preserve">R2</x:t>
        </x:is>
      </x:c>
      <x:c r="B18" s="21" t="inlineStr">
        <x:is>
          <x:t xml:space="preserve">筛选变量</x:t>
        </x:is>
      </x:c>
      <x:c r="C18" s="3" t="inlineStr">
        <x:is>
          <x:t xml:space="preserve">站点时间回归的拟合优度，仅保留 R2≥0.3 样本。</x:t>
        </x:is>
      </x:c>
    </x:row>
  </x:sheetData>
  <x:pageMargins left="0.7" right="0.7" top="0.75" bottom="0.75" header="0.3" footer="0.3"/>
</x:worksheet>
</file>